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bc21b5a5018f43ae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cgroupnet.sharepoint.com/teams/NyDriftsrapportering/Shared Documents/Driftsrapportering/db/"/>
    </mc:Choice>
  </mc:AlternateContent>
  <xr:revisionPtr revIDLastSave="2" documentId="8_{C1F424DF-E1D7-43C7-8408-ECDBE906879D}" xr6:coauthVersionLast="47" xr6:coauthVersionMax="47" xr10:uidLastSave="{65AF3E65-CD66-4B94-B2BC-33FD7D6C9C24}"/>
  <bookViews>
    <workbookView xWindow="16275" yWindow="0" windowWidth="25980" windowHeight="20880" activeTab="4" xr2:uid="{4EF8B4C5-0DEE-4DE3-B0BF-203BB6FFFC25}"/>
  </bookViews>
  <sheets>
    <sheet name="InsertErrors" sheetId="14" r:id="rId1"/>
    <sheet name="Tables" sheetId="1" r:id="rId2"/>
    <sheet name="Doc" sheetId="15" r:id="rId3"/>
    <sheet name="db_drift" sheetId="11" r:id="rId4"/>
    <sheet name="Setup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6" i="1" l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4" i="1" a="1"/>
  <c r="F114" i="1" s="1"/>
  <c r="F115" i="1" a="1"/>
  <c r="F115" i="1" s="1"/>
  <c r="F116" i="1" a="1"/>
  <c r="F116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6" i="1" a="1"/>
  <c r="F126" i="1" s="1"/>
  <c r="F127" i="1" a="1"/>
  <c r="F127" i="1" s="1"/>
  <c r="F128" i="1" a="1"/>
  <c r="F128" i="1" s="1"/>
  <c r="F129" i="1" a="1"/>
  <c r="F129" i="1" s="1"/>
  <c r="F130" i="1" a="1"/>
  <c r="F130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8" i="1" a="1"/>
  <c r="F138" i="1" s="1"/>
  <c r="F139" i="1" a="1"/>
  <c r="F139" i="1" s="1"/>
  <c r="F140" i="1" a="1"/>
  <c r="F140" i="1" s="1"/>
  <c r="F141" i="1" a="1"/>
  <c r="F141" i="1" s="1"/>
  <c r="F142" i="1" a="1"/>
  <c r="F142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07" i="1" a="1"/>
  <c r="F207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2" i="1" a="1"/>
  <c r="F222" i="1" s="1"/>
  <c r="F223" i="1" a="1"/>
  <c r="F223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4" i="1" a="1"/>
  <c r="F234" i="1" s="1"/>
  <c r="F235" i="1" a="1"/>
  <c r="F235" i="1" s="1"/>
  <c r="F236" i="1" a="1"/>
  <c r="F236" i="1" s="1"/>
  <c r="F237" i="1" a="1"/>
  <c r="F237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1" i="1" a="1"/>
  <c r="F261" i="1" s="1"/>
  <c r="F262" i="1" a="1"/>
  <c r="F262" i="1" s="1"/>
  <c r="F263" i="1" a="1"/>
  <c r="F263" i="1" s="1"/>
  <c r="F264" i="1" a="1"/>
  <c r="F264" i="1" s="1"/>
  <c r="F265" i="1" a="1"/>
  <c r="F265" i="1" s="1"/>
  <c r="F266" i="1" a="1"/>
  <c r="F266" i="1" s="1"/>
  <c r="F267" i="1" a="1"/>
  <c r="F267" i="1" s="1"/>
  <c r="F268" i="1" a="1"/>
  <c r="F26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<sst xmlns="http://schemas.openxmlformats.org/spreadsheetml/2006/main" count="3988" uniqueCount="845">
  <si>
    <t>DepartmentID</t>
  </si>
  <si>
    <t>DepartmentName</t>
  </si>
  <si>
    <t>CM3</t>
  </si>
  <si>
    <t>CM4</t>
  </si>
  <si>
    <t>CemReport</t>
  </si>
  <si>
    <t>CoalMill</t>
  </si>
  <si>
    <t>Fuel</t>
  </si>
  <si>
    <t>FuelCalc</t>
  </si>
  <si>
    <t>FuelGjSum</t>
  </si>
  <si>
    <t>Kiln</t>
  </si>
  <si>
    <t>Purchasing</t>
  </si>
  <si>
    <t>Quarry</t>
  </si>
  <si>
    <t>Rawmeal</t>
  </si>
  <si>
    <t>Storage</t>
  </si>
  <si>
    <t>InputTypeID</t>
  </si>
  <si>
    <t>InputTypeName</t>
  </si>
  <si>
    <t>Calculated</t>
  </si>
  <si>
    <t>Input</t>
  </si>
  <si>
    <t>Lookup</t>
  </si>
  <si>
    <t>Report</t>
  </si>
  <si>
    <t>MeasurementID</t>
  </si>
  <si>
    <t>TagID</t>
  </si>
  <si>
    <t>MeasurementDate</t>
  </si>
  <si>
    <t>TagValue</t>
  </si>
  <si>
    <t>SubDepartmentID</t>
  </si>
  <si>
    <t>SubDepartmentName</t>
  </si>
  <si>
    <t>CM</t>
  </si>
  <si>
    <t>CM3FA</t>
  </si>
  <si>
    <t>CM4FA</t>
  </si>
  <si>
    <t>CM4Ind</t>
  </si>
  <si>
    <t>CM4VP</t>
  </si>
  <si>
    <t>Tag</t>
  </si>
  <si>
    <t>TagText</t>
  </si>
  <si>
    <t>UnitID</t>
  </si>
  <si>
    <t>QuarryLimestoneA</t>
  </si>
  <si>
    <t>Miksstein A</t>
  </si>
  <si>
    <t>QuarryPileNumA</t>
  </si>
  <si>
    <t>Dunge Nr. A</t>
  </si>
  <si>
    <t>QuarryLimestoneB</t>
  </si>
  <si>
    <t>Miksstein B</t>
  </si>
  <si>
    <t>QuarryPileNumB</t>
  </si>
  <si>
    <t>Dunge Nr. B</t>
  </si>
  <si>
    <t>QuarryLimestoneHigh</t>
  </si>
  <si>
    <t>QuarryGravelFromStorage</t>
  </si>
  <si>
    <t>Pukk fra lager</t>
  </si>
  <si>
    <t>QuarryWasteRock</t>
  </si>
  <si>
    <t>QuarryExTilLager</t>
  </si>
  <si>
    <t>Eksport til lager</t>
  </si>
  <si>
    <t>QuarryExFraLager</t>
  </si>
  <si>
    <t>Eksport fra lager</t>
  </si>
  <si>
    <t>QuarrySumLimestoneMix</t>
  </si>
  <si>
    <t>Sum Miksstein</t>
  </si>
  <si>
    <t>QuarrySumLimestoneT1</t>
  </si>
  <si>
    <t>Sum kalkstein T1</t>
  </si>
  <si>
    <t>QuarryExAkkumulert</t>
  </si>
  <si>
    <t>Eksport akkumulert</t>
  </si>
  <si>
    <t>RawmealHour</t>
  </si>
  <si>
    <t>Timer Atox</t>
  </si>
  <si>
    <t>RawmealLimestoneAWet</t>
  </si>
  <si>
    <t>RawmealLimestoneBWet</t>
  </si>
  <si>
    <t>RawmealLimestoneHighWet</t>
  </si>
  <si>
    <t>RawmealQuartsWet</t>
  </si>
  <si>
    <t>RawmealIronWet</t>
  </si>
  <si>
    <t>RawmealPower</t>
  </si>
  <si>
    <t>Effekt HM</t>
  </si>
  <si>
    <t>RawmealCFPct</t>
  </si>
  <si>
    <t>CF-Silo %</t>
  </si>
  <si>
    <t>RawmealLimestoneAMoisture</t>
  </si>
  <si>
    <t>Miksstein A Fukt</t>
  </si>
  <si>
    <t>RawmealLimestoneBMoisture</t>
  </si>
  <si>
    <t>Miksstein B Fukt</t>
  </si>
  <si>
    <t>RawmealLimestoneHighMoisture</t>
  </si>
  <si>
    <t>RawmealQuartsMoisture</t>
  </si>
  <si>
    <t>Kvarts Fukt</t>
  </si>
  <si>
    <t>RawmealIronMoisture</t>
  </si>
  <si>
    <t>Jern Fukt</t>
  </si>
  <si>
    <t>RawmealCFTons</t>
  </si>
  <si>
    <t>CF-Silo tonn</t>
  </si>
  <si>
    <t>RawmealLimestoneADry</t>
  </si>
  <si>
    <t>RawmealLimestoneBDry</t>
  </si>
  <si>
    <t>RawmealLimestoneHighDry</t>
  </si>
  <si>
    <t>RawmealKvartsDry</t>
  </si>
  <si>
    <t>RawmealJernkonsDry</t>
  </si>
  <si>
    <t>KilnHourKiln</t>
  </si>
  <si>
    <t>Timer Ovn</t>
  </si>
  <si>
    <t>KilnHourKilnGT90</t>
  </si>
  <si>
    <t>Time &gt; 90%</t>
  </si>
  <si>
    <t>KilnCountStops</t>
  </si>
  <si>
    <t>Antall stopp</t>
  </si>
  <si>
    <t>KilnRawmealIn</t>
  </si>
  <si>
    <t>KilnRawmealOut</t>
  </si>
  <si>
    <t>KilnNH3</t>
  </si>
  <si>
    <t>NH3</t>
  </si>
  <si>
    <t>KilnHourHD</t>
  </si>
  <si>
    <t>Timer Hotdisk</t>
  </si>
  <si>
    <t>KilnHourBypass</t>
  </si>
  <si>
    <t>Timer Bypass</t>
  </si>
  <si>
    <t>KilnBypassRate</t>
  </si>
  <si>
    <t>Prosent bypass</t>
  </si>
  <si>
    <t>KilnBypassDust</t>
  </si>
  <si>
    <t>KilnRmClRatio</t>
  </si>
  <si>
    <t>Klinker-faktor</t>
  </si>
  <si>
    <t>KilnClinkerIn</t>
  </si>
  <si>
    <t>Klinker indre</t>
  </si>
  <si>
    <t>KilnClinkerOut</t>
  </si>
  <si>
    <t>Klinker ytre</t>
  </si>
  <si>
    <t>KilnClinkerSum</t>
  </si>
  <si>
    <t>Sum Klinker</t>
  </si>
  <si>
    <t>FuelWasteOil</t>
  </si>
  <si>
    <t>Spillolje</t>
  </si>
  <si>
    <t>FuelCoalCals</t>
  </si>
  <si>
    <t>Kull kalsinator</t>
  </si>
  <si>
    <t>FuelCoalMain</t>
  </si>
  <si>
    <t>Kull Hovedbrenner</t>
  </si>
  <si>
    <t>FuelRdfHD</t>
  </si>
  <si>
    <t>FAB HD</t>
  </si>
  <si>
    <t>FuelPelletsHD</t>
  </si>
  <si>
    <t>Pellets HD</t>
  </si>
  <si>
    <t>FuelPelletsCals</t>
  </si>
  <si>
    <t>Pellet kalsinator</t>
  </si>
  <si>
    <t>FuelAnimalMeal</t>
  </si>
  <si>
    <t>Beinmel</t>
  </si>
  <si>
    <t>FuelWasteTyre</t>
  </si>
  <si>
    <t>Dekk</t>
  </si>
  <si>
    <t>FuelDiesel</t>
  </si>
  <si>
    <t>Diesel</t>
  </si>
  <si>
    <t>FuelFishFeed</t>
  </si>
  <si>
    <t>Fiske for</t>
  </si>
  <si>
    <t>FuelPelletsMain</t>
  </si>
  <si>
    <t>Pellets hovedbrenner</t>
  </si>
  <si>
    <t>CoalMillHour</t>
  </si>
  <si>
    <t>CoalMillDiesel</t>
  </si>
  <si>
    <t>CM3FAHour</t>
  </si>
  <si>
    <t>CM3FAClinkerIn</t>
  </si>
  <si>
    <t>Klinker Indre</t>
  </si>
  <si>
    <t>CM3FAClinkerOut</t>
  </si>
  <si>
    <t>Klinker Ytre</t>
  </si>
  <si>
    <t>CM3FAGipsum</t>
  </si>
  <si>
    <t>Gisp</t>
  </si>
  <si>
    <t>CM3FAFlyash</t>
  </si>
  <si>
    <t>Flyveaske</t>
  </si>
  <si>
    <t>CM3FAIronSulphat</t>
  </si>
  <si>
    <t>Jernsulfat</t>
  </si>
  <si>
    <t>CM3FALimestone</t>
  </si>
  <si>
    <t>CM3FABypassDust</t>
  </si>
  <si>
    <t>CM3FAMHM</t>
  </si>
  <si>
    <t>MHM</t>
  </si>
  <si>
    <t>CM3FAPower</t>
  </si>
  <si>
    <t>CM4FAHour</t>
  </si>
  <si>
    <t>CM4FAClinkerIn</t>
  </si>
  <si>
    <t>CM4FAClinkerOut</t>
  </si>
  <si>
    <t>CM4FAGipsum</t>
  </si>
  <si>
    <t>CM4FAFlyash</t>
  </si>
  <si>
    <t>CM4FAIronSulphat</t>
  </si>
  <si>
    <t>CM4FALimestone</t>
  </si>
  <si>
    <t>CM4FABypassDust</t>
  </si>
  <si>
    <t>CM4FAMHM</t>
  </si>
  <si>
    <t>CM4FAPower</t>
  </si>
  <si>
    <t>CM4FAHourVP</t>
  </si>
  <si>
    <t>Timer VP</t>
  </si>
  <si>
    <t>CM4FAPowerVP</t>
  </si>
  <si>
    <t>Effect VP</t>
  </si>
  <si>
    <t>CM4FASumPower</t>
  </si>
  <si>
    <t>Sum Effekt</t>
  </si>
  <si>
    <t>CM4IndHour</t>
  </si>
  <si>
    <t>CM4IndClinkerIn</t>
  </si>
  <si>
    <t>CM4IndClinkerOut</t>
  </si>
  <si>
    <t>CM4IndGipsum</t>
  </si>
  <si>
    <t>CM4IndIronSulphat</t>
  </si>
  <si>
    <t>CM4IndLimestone</t>
  </si>
  <si>
    <t>CM4IndBypassDust</t>
  </si>
  <si>
    <t>CM4IndMHM</t>
  </si>
  <si>
    <t>CM4IndPower</t>
  </si>
  <si>
    <t>CM4IndHourVP</t>
  </si>
  <si>
    <t>CM4IndPowerVP</t>
  </si>
  <si>
    <t>CM4IndSumPower</t>
  </si>
  <si>
    <t>StorageSilo6</t>
  </si>
  <si>
    <t>Silo 6</t>
  </si>
  <si>
    <t>StorageSilo7</t>
  </si>
  <si>
    <t>Silo 7</t>
  </si>
  <si>
    <t>StorageSilo8</t>
  </si>
  <si>
    <t>Silo 8</t>
  </si>
  <si>
    <t>StorageSilo9</t>
  </si>
  <si>
    <t>Silo 9</t>
  </si>
  <si>
    <t>StorageSilo1BulkTruck</t>
  </si>
  <si>
    <t>Silo 1 Bulbil</t>
  </si>
  <si>
    <t>StorageSilo2BulkTruck</t>
  </si>
  <si>
    <t>Silo 2 Bulbil</t>
  </si>
  <si>
    <t>StorageSilo4</t>
  </si>
  <si>
    <t>Silo 4</t>
  </si>
  <si>
    <t>StorageSilo5</t>
  </si>
  <si>
    <t>Silo 5</t>
  </si>
  <si>
    <t>StorageSiloBlue</t>
  </si>
  <si>
    <t>PurchasingKvarts</t>
  </si>
  <si>
    <t>Kvarts</t>
  </si>
  <si>
    <t>PurchasingJernkons</t>
  </si>
  <si>
    <t>Jernkons</t>
  </si>
  <si>
    <t>PurchasingWasteOil</t>
  </si>
  <si>
    <t>WasteOil</t>
  </si>
  <si>
    <t>PurchasingCoalFab</t>
  </si>
  <si>
    <t>CoalFab</t>
  </si>
  <si>
    <t>PurchasingCoalDam</t>
  </si>
  <si>
    <t>CoalDam</t>
  </si>
  <si>
    <t>PurchasingCharCoal</t>
  </si>
  <si>
    <t>CharCoal</t>
  </si>
  <si>
    <t>PurchasingLiquidFuel</t>
  </si>
  <si>
    <t>LiquidFuel</t>
  </si>
  <si>
    <t>PurchasingPlasticMain</t>
  </si>
  <si>
    <t>PlasticMain</t>
  </si>
  <si>
    <t>PurchasingAnimalMeal</t>
  </si>
  <si>
    <t>AnimalMeal</t>
  </si>
  <si>
    <t>PurchasingWastTyre</t>
  </si>
  <si>
    <t>WastTyre</t>
  </si>
  <si>
    <t>PurchasingKFK</t>
  </si>
  <si>
    <t>KFK</t>
  </si>
  <si>
    <t>PurchasingGipsum</t>
  </si>
  <si>
    <t>Gipsum</t>
  </si>
  <si>
    <t>PurchasingFlyash</t>
  </si>
  <si>
    <t>Flyash</t>
  </si>
  <si>
    <t>PurchasingIronSulphat</t>
  </si>
  <si>
    <t>IronSulphat</t>
  </si>
  <si>
    <t>PurchasingMHM</t>
  </si>
  <si>
    <t>PurchasingCoke</t>
  </si>
  <si>
    <t>Coke</t>
  </si>
  <si>
    <t>PurchasingRdfHD</t>
  </si>
  <si>
    <t>RdfHD</t>
  </si>
  <si>
    <t>PurchasingCCA</t>
  </si>
  <si>
    <t>CCA</t>
  </si>
  <si>
    <t>PurchasingFishFeed</t>
  </si>
  <si>
    <t>FishFeed</t>
  </si>
  <si>
    <t>PurchasingPelletsMain</t>
  </si>
  <si>
    <t>PelletsMain</t>
  </si>
  <si>
    <t>PurchasingPelletsHD</t>
  </si>
  <si>
    <t>PelletsHD</t>
  </si>
  <si>
    <t>PurchasingNH3</t>
  </si>
  <si>
    <t>PurchasingVerdalstein</t>
  </si>
  <si>
    <t>Verdalstein</t>
  </si>
  <si>
    <t>PurchasingBypassDust</t>
  </si>
  <si>
    <t>BypassDust</t>
  </si>
  <si>
    <t>PurchasingLimestone</t>
  </si>
  <si>
    <t>Limestone</t>
  </si>
  <si>
    <t>PurchasingClinker</t>
  </si>
  <si>
    <t>Clinker</t>
  </si>
  <si>
    <t>FuelGjSumWasteOil</t>
  </si>
  <si>
    <t>FuelGjSumCoalCals</t>
  </si>
  <si>
    <t>FuelGjSumCoalMain</t>
  </si>
  <si>
    <t>Kull hovedbrenner</t>
  </si>
  <si>
    <t>FuelGjSumRdfHD</t>
  </si>
  <si>
    <t>FuelGjSumPelletsHD</t>
  </si>
  <si>
    <t>FuelGjSumPelletsCals</t>
  </si>
  <si>
    <t>Pellets Calsiner</t>
  </si>
  <si>
    <t>FuelGjSumAnimalMeal</t>
  </si>
  <si>
    <t>FuelGjSumWasteTyre</t>
  </si>
  <si>
    <t>FuelGjSumDiesel</t>
  </si>
  <si>
    <t>FuelGjSumFishFeed</t>
  </si>
  <si>
    <t>Fiskefor</t>
  </si>
  <si>
    <t>FuelGjSumPelletsMain</t>
  </si>
  <si>
    <t>Pellets Ovn</t>
  </si>
  <si>
    <t>FuelCalcGjTot</t>
  </si>
  <si>
    <t>Gj Totalt</t>
  </si>
  <si>
    <t>FuelCalcGjAF</t>
  </si>
  <si>
    <t>Gj Alt. brensel</t>
  </si>
  <si>
    <t>FuelCalcAF%</t>
  </si>
  <si>
    <t>Andel Alt. brensel</t>
  </si>
  <si>
    <t>FuelCalcBio%</t>
  </si>
  <si>
    <t>Andel Bio</t>
  </si>
  <si>
    <t>FuelCalcCO2Bio</t>
  </si>
  <si>
    <t>CO2 Bio</t>
  </si>
  <si>
    <t>FuelCalcCO2Fossil</t>
  </si>
  <si>
    <t>CO2 Fosilt</t>
  </si>
  <si>
    <t>FuelCalcCO2Total</t>
  </si>
  <si>
    <t>CO2 Totalt</t>
  </si>
  <si>
    <t>FuelCalcGjMain%</t>
  </si>
  <si>
    <t>Andel Brensel I Ovn</t>
  </si>
  <si>
    <t>FuelCalcGjCals%</t>
  </si>
  <si>
    <t>Andel Brensel I Kalsinator</t>
  </si>
  <si>
    <t>FuelCalcSumCoalWet</t>
  </si>
  <si>
    <t>CemReportCM3SumHourFA</t>
  </si>
  <si>
    <t>CemReportCM3SumFA</t>
  </si>
  <si>
    <t>CemReportCM3RuntimeFA</t>
  </si>
  <si>
    <t>CemReportCM3TPHFA</t>
  </si>
  <si>
    <t>CemReportCM3SpPowerFA</t>
  </si>
  <si>
    <t>CemReportCM3PctClinkerFA</t>
  </si>
  <si>
    <t>CemReportCM3PcGipsumFA</t>
  </si>
  <si>
    <t>CemReportCM3PctFlyashA</t>
  </si>
  <si>
    <t>CemReportCM3PctIronSulphatFA</t>
  </si>
  <si>
    <t>CemReportCM3PctLimestoneFA</t>
  </si>
  <si>
    <t>CemReportCM3PctBypassDustFA</t>
  </si>
  <si>
    <t>CemReportCM3PctMHMFA</t>
  </si>
  <si>
    <t>CemReportCM4FA</t>
  </si>
  <si>
    <t>CemReportCM4SumHourFA</t>
  </si>
  <si>
    <t>CemReportCM4SumFA</t>
  </si>
  <si>
    <t>CemReportCM4RuntimeFA</t>
  </si>
  <si>
    <t>CemReportCM4TPHFA</t>
  </si>
  <si>
    <t>CemReportCM4SpPowerFA</t>
  </si>
  <si>
    <t>CemReportCM4PctClinkerFA</t>
  </si>
  <si>
    <t>CemReportCM4PcGipsumFA</t>
  </si>
  <si>
    <t>CemReportCM4PctFlyashA</t>
  </si>
  <si>
    <t>CemReportCM4PctIronSulphatFA</t>
  </si>
  <si>
    <t>CemReportCM4PctLimestoneFA</t>
  </si>
  <si>
    <t>CemReportCM4PctBypassDustFA</t>
  </si>
  <si>
    <t>CemReportCM4PctMHMFA</t>
  </si>
  <si>
    <t>CemReportCM4Ind</t>
  </si>
  <si>
    <t>CemReportCM4SumHourInd</t>
  </si>
  <si>
    <t>CemReportCM4SumInd</t>
  </si>
  <si>
    <t>CemReportCM4RuntimeInd</t>
  </si>
  <si>
    <t>CemReportCM4TPHInd</t>
  </si>
  <si>
    <t>CemReportCM4SpPowerInd</t>
  </si>
  <si>
    <t>CemReportCM4PctClinkerInd</t>
  </si>
  <si>
    <t>CemReportCM4PcGipsumInd</t>
  </si>
  <si>
    <t>CemReportCM4PctIronSulphatInd</t>
  </si>
  <si>
    <t>CemReportCM4PctLimestoneInd</t>
  </si>
  <si>
    <t>CemReportCM4PctBypassDustInd</t>
  </si>
  <si>
    <t>CemReportCM4PctMHMInd</t>
  </si>
  <si>
    <t>CemReportCM4VP</t>
  </si>
  <si>
    <t>CemReportCM4VPSumHour</t>
  </si>
  <si>
    <t>VP Timer</t>
  </si>
  <si>
    <t>CemReportCM4VPRuntime</t>
  </si>
  <si>
    <t>VP % Runtime</t>
  </si>
  <si>
    <t>CemReortCMSum</t>
  </si>
  <si>
    <t>CemReortCMSumCM3Hours</t>
  </si>
  <si>
    <t>CemReortCMSumCM4Hours</t>
  </si>
  <si>
    <t>CemReportCMSumClinker</t>
  </si>
  <si>
    <t>Sum klinker til sement</t>
  </si>
  <si>
    <t>CemReportCMSumIndCement</t>
  </si>
  <si>
    <t>Sum Ind Sement</t>
  </si>
  <si>
    <t>CemReportCMSumFACement</t>
  </si>
  <si>
    <t>Sum FA Sement</t>
  </si>
  <si>
    <t>CemReportCMSumCement</t>
  </si>
  <si>
    <t>Sum Sement</t>
  </si>
  <si>
    <t>UnitName</t>
  </si>
  <si>
    <t>%</t>
  </si>
  <si>
    <t>gj/t_cl</t>
  </si>
  <si>
    <t>hour</t>
  </si>
  <si>
    <t>kg</t>
  </si>
  <si>
    <t>kwh</t>
  </si>
  <si>
    <t>kwh/t</t>
  </si>
  <si>
    <t>num</t>
  </si>
  <si>
    <t>t/h</t>
  </si>
  <si>
    <t>ton</t>
  </si>
  <si>
    <t>tblTags</t>
  </si>
  <si>
    <t>tblInputTypes</t>
  </si>
  <si>
    <t>tblDepartments</t>
  </si>
  <si>
    <t>tblSubDepartments</t>
  </si>
  <si>
    <t>tblUnits</t>
  </si>
  <si>
    <t>tblMeasurements</t>
  </si>
  <si>
    <t>Mix stone from pile A</t>
  </si>
  <si>
    <t>Pile number from analyzer</t>
  </si>
  <si>
    <t>Mix stone from pile B</t>
  </si>
  <si>
    <t>Høystein</t>
  </si>
  <si>
    <t>High grade lime stone</t>
  </si>
  <si>
    <t>Gravel stone from storage</t>
  </si>
  <si>
    <t>Gråberg</t>
  </si>
  <si>
    <t>Waste rock</t>
  </si>
  <si>
    <t>Export to storage</t>
  </si>
  <si>
    <t>Export from storage</t>
  </si>
  <si>
    <t>Sum Mix stone</t>
  </si>
  <si>
    <t>Sum Lime stone T1</t>
  </si>
  <si>
    <t>Export accumulated</t>
  </si>
  <si>
    <t>TagTextLong</t>
  </si>
  <si>
    <t>InputType</t>
  </si>
  <si>
    <t>Description</t>
  </si>
  <si>
    <t>TableName</t>
  </si>
  <si>
    <t>tblDescriptions</t>
  </si>
  <si>
    <t>RowNumber</t>
  </si>
  <si>
    <t>SQL</t>
  </si>
  <si>
    <t>Kvarts Tørr</t>
  </si>
  <si>
    <t>Jern Tørr</t>
  </si>
  <si>
    <t>SortOrder</t>
  </si>
  <si>
    <t>FuelType</t>
  </si>
  <si>
    <t>FuelAllocation</t>
  </si>
  <si>
    <t>FuelTypeID</t>
  </si>
  <si>
    <t>AF</t>
  </si>
  <si>
    <t>PF</t>
  </si>
  <si>
    <t>tblFuelTypes</t>
  </si>
  <si>
    <t>MB</t>
  </si>
  <si>
    <t>CB</t>
  </si>
  <si>
    <t>Miksstein A Våt</t>
  </si>
  <si>
    <t>Miksstein B Våt</t>
  </si>
  <si>
    <t>Høystein Våt</t>
  </si>
  <si>
    <t>Kvarts Våt</t>
  </si>
  <si>
    <t>Jern Våt</t>
  </si>
  <si>
    <t>Høystein Fukt</t>
  </si>
  <si>
    <t>Miksstein A Tørr</t>
  </si>
  <si>
    <t>Miksstein B Tørr</t>
  </si>
  <si>
    <t>Høystein Tørr</t>
  </si>
  <si>
    <t>Fødning råmel til Indre lager</t>
  </si>
  <si>
    <t>Fødning råmel til Ytre lager</t>
  </si>
  <si>
    <t>Bypass støv</t>
  </si>
  <si>
    <t>Timer Mølle</t>
  </si>
  <si>
    <t>Timer Mølle 3</t>
  </si>
  <si>
    <t>Råmel</t>
  </si>
  <si>
    <t>Timer Mølle 4</t>
  </si>
  <si>
    <t>Blåsilo</t>
  </si>
  <si>
    <t>FuelBio</t>
  </si>
  <si>
    <t>FuelBio%WasteOil</t>
  </si>
  <si>
    <t>FuelBio%CoalCals</t>
  </si>
  <si>
    <t>FuelBio%CoalMain</t>
  </si>
  <si>
    <t>FuelBio%RdfHD</t>
  </si>
  <si>
    <t>FuelBio%PelletsHD</t>
  </si>
  <si>
    <t>FuelBio%PelletsCals</t>
  </si>
  <si>
    <t>FuelBio%AnimalMeal</t>
  </si>
  <si>
    <t>FuelBio%WasteTyre</t>
  </si>
  <si>
    <t>FuelBio%Diesel</t>
  </si>
  <si>
    <t>FuelBio%FishFeed</t>
  </si>
  <si>
    <t>FuelBio%PelletsMain</t>
  </si>
  <si>
    <t>FuelCO2</t>
  </si>
  <si>
    <t>FuelCO2FossilWasteOil</t>
  </si>
  <si>
    <t>FuelCO2FossilCoalCals</t>
  </si>
  <si>
    <t>FuelCO2FossilCoalMain</t>
  </si>
  <si>
    <t>FuelCO2FossilRdfHD</t>
  </si>
  <si>
    <t>FuelCO2FossilPelletsHD</t>
  </si>
  <si>
    <t>FuelCO2FossilPelletsCals</t>
  </si>
  <si>
    <t>FuelCO2FossilAnimalMeal</t>
  </si>
  <si>
    <t>FuelCO2FossilWasteTyre</t>
  </si>
  <si>
    <t>FuelCO2FossilDiesel</t>
  </si>
  <si>
    <t>FuelCO2FossilFishFeed</t>
  </si>
  <si>
    <t>FuelCO2FossilPelletsMain</t>
  </si>
  <si>
    <t>FuelCO2BioWasteOil</t>
  </si>
  <si>
    <t>FuelCO2BioCoalCals</t>
  </si>
  <si>
    <t>FuelCO2BioCoalMain</t>
  </si>
  <si>
    <t>FuelCO2BioRdfHD</t>
  </si>
  <si>
    <t>FuelCO2BioPelletsHD</t>
  </si>
  <si>
    <t>FuelCO2BioPelletsCals</t>
  </si>
  <si>
    <t>FuelCO2BioAnimalMeal</t>
  </si>
  <si>
    <t>FuelCO2BioWasteTyre</t>
  </si>
  <si>
    <t>FuelCO2BioDiesel</t>
  </si>
  <si>
    <t>FuelCO2BioFishFeed</t>
  </si>
  <si>
    <t>FuelCO2BioPelletsMain</t>
  </si>
  <si>
    <t>FuelCalcAF%Main</t>
  </si>
  <si>
    <t>Andel Alt. Brensel I Ovn</t>
  </si>
  <si>
    <t>FuelCalcAF%Cals</t>
  </si>
  <si>
    <t>Andel Alt. Brensel I Kalsinator</t>
  </si>
  <si>
    <t>FuelCalcSumCoal</t>
  </si>
  <si>
    <t>Sum tørr kull</t>
  </si>
  <si>
    <t>Sum våt kull</t>
  </si>
  <si>
    <t>FuelCalcCO2</t>
  </si>
  <si>
    <t>FuelCalcCO2Clinker</t>
  </si>
  <si>
    <t>CO2 Fra Klinker</t>
  </si>
  <si>
    <t>FuelCalcCO2BypassDust</t>
  </si>
  <si>
    <t>CO2 Fra Bypass</t>
  </si>
  <si>
    <t>FuelCalcCO2LimestoneClinker</t>
  </si>
  <si>
    <t>CO2 Fra Råmel til Ovn</t>
  </si>
  <si>
    <t>FuelCalcCO2Fuels</t>
  </si>
  <si>
    <t>CO2 Fra Brensel</t>
  </si>
  <si>
    <t>FuelCalcCO2Products</t>
  </si>
  <si>
    <t>Sum CO2 Produkter</t>
  </si>
  <si>
    <t>FuelCalcCO2Quta</t>
  </si>
  <si>
    <t>Sum Kvotepliktig CO2</t>
  </si>
  <si>
    <t>FuelCalcCO2PrClinker</t>
  </si>
  <si>
    <t>kg CO2/tonn klinker</t>
  </si>
  <si>
    <t>FuelCalcCO2PrCement</t>
  </si>
  <si>
    <t>kg CO2/tonn sement</t>
  </si>
  <si>
    <t>Mølle 3 Timer</t>
  </si>
  <si>
    <t>Mølle 3 FA Sement</t>
  </si>
  <si>
    <t>Mølle 3 Runtime FA</t>
  </si>
  <si>
    <t>Mølle 3 t/h FA Sement</t>
  </si>
  <si>
    <t>Mølle 3 kwh/t</t>
  </si>
  <si>
    <t>Mølle 3 % Klinker FA</t>
  </si>
  <si>
    <t>Mølle 3 % Gipsum FA</t>
  </si>
  <si>
    <t>Mølle 3 % Flyash FA</t>
  </si>
  <si>
    <t>Mølle 3 % Sulphat FA</t>
  </si>
  <si>
    <t>Mølle 3 % Limestone FA</t>
  </si>
  <si>
    <t>Mølle 3 % Dust FA</t>
  </si>
  <si>
    <t>Mølle 3 % MHM FA</t>
  </si>
  <si>
    <t>Mølle 4 Timer FA</t>
  </si>
  <si>
    <t>Mølle 4 FA Sement</t>
  </si>
  <si>
    <t>Mølle 4 % Runtime FA</t>
  </si>
  <si>
    <t>Mølle 4 t/h FA Sement</t>
  </si>
  <si>
    <t>Mølle 4 kwh/t FA</t>
  </si>
  <si>
    <t>Mølle 4 % Klinker FA</t>
  </si>
  <si>
    <t>Mølle 4 % Gipsum FA</t>
  </si>
  <si>
    <t>Mølle 4 % Flyash FA</t>
  </si>
  <si>
    <t>Mølle 4 % Sulphat FA</t>
  </si>
  <si>
    <t>Mølle 4 % Limestone FA</t>
  </si>
  <si>
    <t>Mølle 4 % Dust FA</t>
  </si>
  <si>
    <t>Mølle 4 % MHM FA</t>
  </si>
  <si>
    <t>Mølle 4 Timer Ind</t>
  </si>
  <si>
    <t>Mølle 4 Ind Sement</t>
  </si>
  <si>
    <t>Mølle 4 % Runtime Ind</t>
  </si>
  <si>
    <t>Mølle 4 t/h Ind Sement</t>
  </si>
  <si>
    <t>Mølle 4 kwh/t Ind</t>
  </si>
  <si>
    <t>Mølle 4 % Klinker Ind</t>
  </si>
  <si>
    <t>Mølle 4 % Gipsum Ind</t>
  </si>
  <si>
    <t>Mølle 4 % Sulphat Ind</t>
  </si>
  <si>
    <t>Mølle 4 % Limestone Ind</t>
  </si>
  <si>
    <t>Mølle 4 % Dust Ind</t>
  </si>
  <si>
    <t>Mølle 4 % MHM Ind</t>
  </si>
  <si>
    <t>CemReportCM4VPSumPower</t>
  </si>
  <si>
    <t>VP Effekt</t>
  </si>
  <si>
    <t>Sum timer mølle 3</t>
  </si>
  <si>
    <t>Sum timer mølle 4</t>
  </si>
  <si>
    <t>CemReportCMClinkerCementRatio</t>
  </si>
  <si>
    <t>Klinker Sement Faktor</t>
  </si>
  <si>
    <t>Department</t>
  </si>
  <si>
    <t>Text</t>
  </si>
  <si>
    <t>Fuel Type</t>
  </si>
  <si>
    <t>Fuel Allocation</t>
  </si>
  <si>
    <t>Help Tags Calc</t>
  </si>
  <si>
    <t>Help Tags Cement</t>
  </si>
  <si>
    <t>Comments</t>
  </si>
  <si>
    <t>Hide Tags</t>
  </si>
  <si>
    <t>Brudd</t>
  </si>
  <si>
    <t>hide</t>
  </si>
  <si>
    <t>Ovn</t>
  </si>
  <si>
    <t>Sjekk om det må lages et tag</t>
  </si>
  <si>
    <t>Brensel</t>
  </si>
  <si>
    <t>PM</t>
  </si>
  <si>
    <t>Kullmølle</t>
  </si>
  <si>
    <t>Mølle 3 FA</t>
  </si>
  <si>
    <t>CM3FATons</t>
  </si>
  <si>
    <t>Mølle 4 FA</t>
  </si>
  <si>
    <t>CM4FATons</t>
  </si>
  <si>
    <t>VPHour</t>
  </si>
  <si>
    <t>Må lage et eget tag i PxTrend, VT_RUNSIG_VP_FA</t>
  </si>
  <si>
    <t>VPPower</t>
  </si>
  <si>
    <t>Må lage et eget tag i PxTrend, VT_KW_VP_FA</t>
  </si>
  <si>
    <t>Mølle 4 Ind</t>
  </si>
  <si>
    <t>CM4IndTons</t>
  </si>
  <si>
    <t>Må lage et eget tag i PxTrend, VT_RUNSIG_VP_IND</t>
  </si>
  <si>
    <t>Må lage et eget tag i PxTrend, VT_KW_VP_IND</t>
  </si>
  <si>
    <t>Beholdninger</t>
  </si>
  <si>
    <t>Innkjøp</t>
  </si>
  <si>
    <t>GJ*tonn</t>
  </si>
  <si>
    <t>FuelWasteOil,FuelValueWasteOil</t>
  </si>
  <si>
    <t>FuelCoalCals,FuelValueCoalCals</t>
  </si>
  <si>
    <t>FuelCoalMain,FuelValueCoalMain</t>
  </si>
  <si>
    <t>FuelRdfHD,FuelValueRdfHD</t>
  </si>
  <si>
    <t>FuelPelletsHD,FuelValuePelletsHD</t>
  </si>
  <si>
    <t>FuelPelletsCals,FuelValuePelletsCals</t>
  </si>
  <si>
    <t>FuelAnimalMeal,FuelValueAnimalMeal</t>
  </si>
  <si>
    <t>FuelWasteTyre,FuelValueWasteTyre</t>
  </si>
  <si>
    <t>FuelDiesel,FuelValueDiesel</t>
  </si>
  <si>
    <t>FuelFishFeed,FuelValueFishFeed</t>
  </si>
  <si>
    <t>FuelPelletsMain,FuelValuePelletsMain</t>
  </si>
  <si>
    <t>FuelBioWasteOil</t>
  </si>
  <si>
    <t>FuelBioCoalCals</t>
  </si>
  <si>
    <t>FuelBioCoalMain</t>
  </si>
  <si>
    <t>FuelBioRdfHD</t>
  </si>
  <si>
    <t>FuelBioPelletsHD</t>
  </si>
  <si>
    <t>FuelBioPelletsCals</t>
  </si>
  <si>
    <t>FuelBioAnimalMeal</t>
  </si>
  <si>
    <t>FuelBioWasteTyre</t>
  </si>
  <si>
    <t>FuelBioDiesel</t>
  </si>
  <si>
    <t>FuelBioFishFeed</t>
  </si>
  <si>
    <t>FuelBioPelletsMain</t>
  </si>
  <si>
    <t>FuelEmissionFactWasteOil</t>
  </si>
  <si>
    <t>FuelBioWasteOil,FuelGjSumWasteOil</t>
  </si>
  <si>
    <t>FuelEmissionFactCoalCals</t>
  </si>
  <si>
    <t>FuelBioCoalCals,FuelGjSumCoalCals</t>
  </si>
  <si>
    <t>FuelEmissionFactCoalMain</t>
  </si>
  <si>
    <t>FuelBioCoalMain,FuelGjSumCoalMain</t>
  </si>
  <si>
    <t>FuelEmissionFactRdfHD</t>
  </si>
  <si>
    <t>FuelBioRdfHD,FuelGjSumRdfHD</t>
  </si>
  <si>
    <t>FuelEmissionFactPelletsHD</t>
  </si>
  <si>
    <t>FuelBioPelletsHD,FuelGjSumPelletsHD</t>
  </si>
  <si>
    <t>FuelEmissionFactPelletsCals</t>
  </si>
  <si>
    <t>FuelBioPelletsCals,FuelGjSumPelletsCals</t>
  </si>
  <si>
    <t>FuelEmissionFactAnimalMeal</t>
  </si>
  <si>
    <t>FuelBioAnimalMeal,FuelGjSumAnimalMeal</t>
  </si>
  <si>
    <t>FuelEmissionFactWasteTyre</t>
  </si>
  <si>
    <t>FuelBioWasteTyre,FuelGjSumWasteTyre</t>
  </si>
  <si>
    <t>FuelEmissionFactDiesel</t>
  </si>
  <si>
    <t>FuelBioDiesel,FuelGjSumDiesel</t>
  </si>
  <si>
    <t>FuelEmissionFactFishFeed</t>
  </si>
  <si>
    <t>FuelBioFishFeed,FuelGjSumFishFeed</t>
  </si>
  <si>
    <t>FuelEmissionFactPelletsMain</t>
  </si>
  <si>
    <t>FuelBioPelletsMain,FuelGjSumPelletsMain</t>
  </si>
  <si>
    <t>Brensel Rapport</t>
  </si>
  <si>
    <t>FuelGjSum*,KilnClinkerSum</t>
  </si>
  <si>
    <t>FuelGjSum*,KilnClinkerSum,AF</t>
  </si>
  <si>
    <t>FuelGjSum*,MB,KilnHourKiln</t>
  </si>
  <si>
    <t>FuelGjSum*,CB</t>
  </si>
  <si>
    <t>FuelCoal*</t>
  </si>
  <si>
    <t>FuelCoal*,FuelMoistureCoal</t>
  </si>
  <si>
    <t>CO2 Rapport</t>
  </si>
  <si>
    <t>KilnClinkerSum,EmissionCO2FactClinker</t>
  </si>
  <si>
    <t>KilnBypassDust,EmissionCO2FactClinker,EmissionCalsnationDegree</t>
  </si>
  <si>
    <t>KilnRawmealIn,KilnRawmealOut,EmissionTOCLimestone</t>
  </si>
  <si>
    <t>FuelCO2Fossil*</t>
  </si>
  <si>
    <t>CM3 FA Rapp</t>
  </si>
  <si>
    <t>CM3FAClinkerIn,CM3FAClinkerOut</t>
  </si>
  <si>
    <t>CM4 FA Rapp</t>
  </si>
  <si>
    <t>CM4FAClinkerIn,CM4FAClinkerOut</t>
  </si>
  <si>
    <t>CM4 Ind Rapp</t>
  </si>
  <si>
    <t>CM4IndClinkerIn,CM4IndClinkerOut</t>
  </si>
  <si>
    <t>CM VP Rapp</t>
  </si>
  <si>
    <t>CM Sum Rapp</t>
  </si>
  <si>
    <t>CM4FAHour,CM4IndHour</t>
  </si>
  <si>
    <t>*Clinker*</t>
  </si>
  <si>
    <t>CM*</t>
  </si>
  <si>
    <t>*IndTons</t>
  </si>
  <si>
    <t>*FATons</t>
  </si>
  <si>
    <t>FuelAllocationID</t>
  </si>
  <si>
    <t>HelpCalc1</t>
  </si>
  <si>
    <t>HelpCalc2</t>
  </si>
  <si>
    <t>DepartmentHeadingID</t>
  </si>
  <si>
    <t>DepartmentHeading</t>
  </si>
  <si>
    <t>tblDepartmentHeadings</t>
  </si>
  <si>
    <t>tblFuelAllocations</t>
  </si>
  <si>
    <t>Calc1ID</t>
  </si>
  <si>
    <t>Calc2ID</t>
  </si>
  <si>
    <t>tblHelpCalc1</t>
  </si>
  <si>
    <t>tblHelpCalc2</t>
  </si>
  <si>
    <t>HelpCalc1ID</t>
  </si>
  <si>
    <t>HelpCalc2ID</t>
  </si>
  <si>
    <t>ID</t>
  </si>
  <si>
    <t>HideTag</t>
  </si>
  <si>
    <t>tblHideTags</t>
  </si>
  <si>
    <t>HideTagID</t>
  </si>
  <si>
    <t>end</t>
  </si>
  <si>
    <t>PlcTag</t>
  </si>
  <si>
    <t>Formula</t>
  </si>
  <si>
    <t>Bruddet *strekker* seg fra **selve** bruddet og til homogeniseringslageret</t>
  </si>
  <si>
    <t>Råmel __strekker__ seg fra homogeniseringslager til CF-silo</t>
  </si>
  <si>
    <t>Driftstid Atox mølle</t>
  </si>
  <si>
    <t>Fødning miksstein fra dunge A til Atox. Inneholder fuktighet</t>
  </si>
  <si>
    <t>Fødning miksstein fra dunge B til Atox. Inneholder fuktighet</t>
  </si>
  <si>
    <t>Fødning høystein til Atox. Inneholder fuktighet</t>
  </si>
  <si>
    <t>Fødning kvarts til Atox. Inneholder fuktighet</t>
  </si>
  <si>
    <t>Fødning jern til Atox. Inneholder fuktighet</t>
  </si>
  <si>
    <t>Effekt hovedmotor Atox</t>
  </si>
  <si>
    <t>Fyllingsgrad CF-silo</t>
  </si>
  <si>
    <t>Analysert fuktighet, hentes fra tabbelen: tblSetupMonthlyValues</t>
  </si>
  <si>
    <t>Nivå på CF-siloen I tonn</t>
  </si>
  <si>
    <t>Tørt materiale inn på CF-silo</t>
  </si>
  <si>
    <t>**Tørt materiale inn på CF-silo**</t>
  </si>
  <si>
    <t>Produksjon av klinker</t>
  </si>
  <si>
    <t>Driftstimer ovn</t>
  </si>
  <si>
    <t>Driftstimer ovn med ovnshastighet &gt; 90%</t>
  </si>
  <si>
    <t>Antall stopper på ovn siste døgn, **kun** nye stopper registreres.</t>
  </si>
  <si>
    <t>Råmelsføding til ovn hvor klinkeren går til indre klinkerlager</t>
  </si>
  <si>
    <t>Råmelsføding til ovn hvor klinkeren går til ytre klinkerlager</t>
  </si>
  <si>
    <t>Mengde NH3</t>
  </si>
  <si>
    <t>Driftstimer hotdisk</t>
  </si>
  <si>
    <t>Driftstimer bypass</t>
  </si>
  <si>
    <t>Andel bypass, beregnet som en prosent av ovnsgassen</t>
  </si>
  <si>
    <t>Mengde bypass-støv</t>
  </si>
  <si>
    <t>Klinkerfaktor, hentes fra …</t>
  </si>
  <si>
    <t>Fødning råmel til Indre lager dele på klinkerfaktor minus mengde bypass-støv</t>
  </si>
  <si>
    <t>Fødning råmel til ytre lager dele på klinkerfaktor minus mengde bypass-støv</t>
  </si>
  <si>
    <t>Sum indre- og ytre lager</t>
  </si>
  <si>
    <t>Brensel til ovn</t>
  </si>
  <si>
    <t>Mengde Spillolje</t>
  </si>
  <si>
    <t>Mengde Kull kalsinator</t>
  </si>
  <si>
    <t>Mengde Kull Hovedbrenner</t>
  </si>
  <si>
    <t>Mengde FAB HD</t>
  </si>
  <si>
    <t>Mengde Pellets HD</t>
  </si>
  <si>
    <t>Mengde Pellet kalsinator</t>
  </si>
  <si>
    <t>Mengde Beinmel</t>
  </si>
  <si>
    <t>Mengde Dekk</t>
  </si>
  <si>
    <t>Mengde Diesel</t>
  </si>
  <si>
    <t>Mengde Fiskefor</t>
  </si>
  <si>
    <t>Mengde Pellets hovedbrenner</t>
  </si>
  <si>
    <t>Driftstimer kullmølle</t>
  </si>
  <si>
    <t>Mengde diesel brukt til kullmølle</t>
  </si>
  <si>
    <t>Innputs for sementmølle 3 FA produksjon</t>
  </si>
  <si>
    <t>Driftstimer mløøe 3 fa produksjon</t>
  </si>
  <si>
    <t>Mengde Klinker Indre</t>
  </si>
  <si>
    <t>Mengde Klinker Ytre</t>
  </si>
  <si>
    <t>Mengde Gisp</t>
  </si>
  <si>
    <t>Mengde Flyveaske</t>
  </si>
  <si>
    <t>Mengde Jernsulfat</t>
  </si>
  <si>
    <t>Mengde Råmel</t>
  </si>
  <si>
    <t>Mengde Bypass støv</t>
  </si>
  <si>
    <t>Mengde MHM</t>
  </si>
  <si>
    <t>Effekt hovedmotor sementmølle 3 fa produksjon</t>
  </si>
  <si>
    <t>Innputs for sementmølle 4 FA produksjon</t>
  </si>
  <si>
    <t>Driftstimer sementmølle 4 FA produksjon</t>
  </si>
  <si>
    <t>Effekt hovedmotor sementmølle 4 FA produksjon</t>
  </si>
  <si>
    <t>Mengde Timer VP</t>
  </si>
  <si>
    <t>Effekt valsepresse sementmølle 4 FA produksjon</t>
  </si>
  <si>
    <t>Effekt hovedmotor og valsepresse FA produksjon</t>
  </si>
  <si>
    <t>Innputs for sementmølle 4 Industri produksjon</t>
  </si>
  <si>
    <t>Driftstimer sementmølle 4 Industri produksjon</t>
  </si>
  <si>
    <t>Effekt hovedmotor sementmølle 4 Industri produksjon</t>
  </si>
  <si>
    <t>Effekt valsepresse sementmølle 4 Industri produsjon</t>
  </si>
  <si>
    <t>Effekt hovedmotor og valsepresse Industri produksjon</t>
  </si>
  <si>
    <t>Peilet beholdninger</t>
  </si>
  <si>
    <t>Beholdning Silo 6</t>
  </si>
  <si>
    <t>Beholdning Silo 7</t>
  </si>
  <si>
    <t>Beholdning Silo 8</t>
  </si>
  <si>
    <t>Beholdning Silo 9</t>
  </si>
  <si>
    <t>Beholdning Silo 1 Bulbil</t>
  </si>
  <si>
    <t>Beholdning Silo 2 Bulbil</t>
  </si>
  <si>
    <t>Beholdning Silo 4</t>
  </si>
  <si>
    <t>Beholdning Silo 5</t>
  </si>
  <si>
    <t>Beholdning Blåsilo</t>
  </si>
  <si>
    <t>Innkjøp og salg av råmaterialer og brensler, bruk negativt fortegn ved salg</t>
  </si>
  <si>
    <t>Innkjøp av Kvarts</t>
  </si>
  <si>
    <t>Innkjøp av Jernkons</t>
  </si>
  <si>
    <t>Innkjøp av WasteOil</t>
  </si>
  <si>
    <t>Innkjøp av CoalFab</t>
  </si>
  <si>
    <t>Innkjøp av CoalDam</t>
  </si>
  <si>
    <t>Innkjøp av CharCoal</t>
  </si>
  <si>
    <t>Innkjøp av LiquidFuel</t>
  </si>
  <si>
    <t>Innkjøp av PlasticMain</t>
  </si>
  <si>
    <t>Innkjøp av AnimalMeal</t>
  </si>
  <si>
    <t>Innkjøp av WastTyre</t>
  </si>
  <si>
    <t>Innkjøp av KFK</t>
  </si>
  <si>
    <t>Innkjøp av Gipsum</t>
  </si>
  <si>
    <t>Innkjøp av Flyash</t>
  </si>
  <si>
    <t>Innkjøp av IronSulphat</t>
  </si>
  <si>
    <t>Innkjøp av MHM</t>
  </si>
  <si>
    <t>Innkjøp av Coke</t>
  </si>
  <si>
    <t>Innkjøp av RdfHD</t>
  </si>
  <si>
    <t>Innkjøp av CCA</t>
  </si>
  <si>
    <t>Innkjøp av FishFeed</t>
  </si>
  <si>
    <t>Innkjøp av PelletsMain</t>
  </si>
  <si>
    <t>Innkjøp av PelletsHD</t>
  </si>
  <si>
    <t>Innkjøp av NH3</t>
  </si>
  <si>
    <t>Innkjøp av Verdalstein</t>
  </si>
  <si>
    <t>Salg av BypassDust bruk negativt fortegn</t>
  </si>
  <si>
    <t>Salg av Limestone bruk negativt fortegn</t>
  </si>
  <si>
    <t>Salg av Clinker bruk negativt fortegn</t>
  </si>
  <si>
    <t>Forbruk brensel i tonn ganger brennverdi, som finne i tabell: tblSetupMonthlyValues i arkfliken 'Setup Year'</t>
  </si>
  <si>
    <t>Spillolje i tonn ganger MJ/ton for Spillolje</t>
  </si>
  <si>
    <t>Kull kalsinator i tonn ganger MJ/ton for Kull kalsinator</t>
  </si>
  <si>
    <t>Kull hovedbrenner i tonn ganger MJ/ton for Kull hovedbrenner</t>
  </si>
  <si>
    <t>FAB HD i tonn ganger MJ/ton for FAB HD</t>
  </si>
  <si>
    <t>Pellets HD i tonn ganger MJ/ton for Pellets HD</t>
  </si>
  <si>
    <t>Pellets Calsiner i tonn ganger MJ/ton for Pellets Calsiner</t>
  </si>
  <si>
    <t>Beinmel i tonn ganger MJ/ton for Beinmel</t>
  </si>
  <si>
    <t>Dekk i tonn ganger MJ/ton for Dekk</t>
  </si>
  <si>
    <t>Diesel i tonn ganger MJ/ton for Diesel</t>
  </si>
  <si>
    <t>Fiskefor i tonn ganger MJ/ton for Fiskefor</t>
  </si>
  <si>
    <t>Pellets Ovn i tonn ganger MJ/ton for Pellets Ovn</t>
  </si>
  <si>
    <t>Beregner andelen bio total i brensel</t>
  </si>
  <si>
    <t>Sum energi (gj*tonn) for Spillolje ganger andel bio i Spillolje dele på summen av all energi fra brensel.</t>
  </si>
  <si>
    <t>Sum energi (gj*tonn) for Kull kalsinator ganger andel bio i Kull kalsinator dele på summen av all energi fra brensel.</t>
  </si>
  <si>
    <t>Sum energi (gj*tonn) for Kull hovedbrenner ganger andel bio i Kull hovedbrenner dele på summen av all energi fra brensel.</t>
  </si>
  <si>
    <t>Sum energi (gj*tonn) for FAB HD ganger andel bio i FAB HD dele på summen av all energi fra brensel.</t>
  </si>
  <si>
    <t>Sum energi (gj*tonn) for Pellets HD ganger andel bio i Pellets HD dele på summen av all energi fra brensel.</t>
  </si>
  <si>
    <t>Sum energi (gj*tonn) for Pellets Calsiner ganger andel bio i Pellets Calsiner dele på summen av all energi fra brensel.</t>
  </si>
  <si>
    <t>Sum energi (gj*tonn) for Beinmel ganger andel bio i Beinmel dele på summen av all energi fra brensel.</t>
  </si>
  <si>
    <t>Sum energi (gj*tonn) for Dekk ganger andel bio i Dekk dele på summen av all energi fra brensel.</t>
  </si>
  <si>
    <t>Sum energi (gj*tonn) for Diesel ganger andel bio i Diesel dele på summen av all energi fra brensel.</t>
  </si>
  <si>
    <t>Sum energi (gj*tonn) for Fiskefor ganger andel bio i Fiskefor dele på summen av all energi fra brensel.</t>
  </si>
  <si>
    <t>Sum energi (gj*tonn) for Pellets Ovn ganger andel bio i Pellets Ovn dele på summen av all energi fra brensel.</t>
  </si>
  <si>
    <t>Beregner Fosilt CO2 (kvotepliktig) og CO2 fra bioandelen (ikke kvotepliktig) for hvert brensel. Blir brukt som inputt til CO2 Rapporten.</t>
  </si>
  <si>
    <t>Beregner fosilt CO2 fra Spillolje</t>
  </si>
  <si>
    <t>Beregner fosilt CO2 fra Kull kalsinator</t>
  </si>
  <si>
    <t>Beregner fosilt CO2 fra Kull hovedbrenner</t>
  </si>
  <si>
    <t>Beregner fosilt CO2 fra FAB HD</t>
  </si>
  <si>
    <t>Beregner fosilt CO2 fra Pellets HD</t>
  </si>
  <si>
    <t>Beregner fosilt CO2 fra Pellets Calsiner</t>
  </si>
  <si>
    <t>Beregner fosilt CO2 fra Beinmel</t>
  </si>
  <si>
    <t>Beregner fosilt CO2 fra Dekk</t>
  </si>
  <si>
    <t>Beregner fosilt CO2 fra Diesel</t>
  </si>
  <si>
    <t>Beregner fosilt CO2 fra Fiskefor</t>
  </si>
  <si>
    <t>Beregner fosilt CO2 fra Pellets Ovn</t>
  </si>
  <si>
    <t>Beregner bio CO2 fra Spillolje</t>
  </si>
  <si>
    <t>Beregner bio CO2 fra Kull kalsinator</t>
  </si>
  <si>
    <t>Beregner bio CO2 fra Kull hovedbrenner</t>
  </si>
  <si>
    <t>Beregner bio CO2 fra FAB HD</t>
  </si>
  <si>
    <t>Beregner bio CO2 fra Pellets HD</t>
  </si>
  <si>
    <t>Beregner bio CO2 fra Pellets Calsiner</t>
  </si>
  <si>
    <t>Beregner bio CO2 fra Beinmel</t>
  </si>
  <si>
    <t>Beregner bio CO2 fra Dekk</t>
  </si>
  <si>
    <t>Beregner bio CO2 fra Diesel</t>
  </si>
  <si>
    <t>Beregner bio CO2 fra Fiskefor</t>
  </si>
  <si>
    <t>Beregner bio CO2 fra Pellets Ovn</t>
  </si>
  <si>
    <t>Energirapport</t>
  </si>
  <si>
    <t>Totalt spesifikt energi forbruk i Giga Joul pr. Tonn klinker</t>
  </si>
  <si>
    <t>Spesifikt energi forbruk i Giga Joul pr. Tonn klinker for alternativt brensel</t>
  </si>
  <si>
    <t>Andelen altarnativt brensel</t>
  </si>
  <si>
    <t>Andelen bio</t>
  </si>
  <si>
    <t>Ikke beregnet i denne versjon</t>
  </si>
  <si>
    <t>Andelen brensel i ovn (hoved- og satellitebrenner)</t>
  </si>
  <si>
    <t>Andelen brensel i kalsinator, inkl. Hotdisk</t>
  </si>
  <si>
    <t>Andelen alternativt brensel i ovn (hoved- og satellitebrenner)</t>
  </si>
  <si>
    <t>Andelen alternativt brensel i kalsinator, inkl. Hotdisk</t>
  </si>
  <si>
    <t>Sum tørt kull (malt)</t>
  </si>
  <si>
    <t>Sum fuktig kull</t>
  </si>
  <si>
    <t>Energirapport for CO2</t>
  </si>
  <si>
    <t>CO2 fra klinker</t>
  </si>
  <si>
    <t>CO2 fra bypass støv</t>
  </si>
  <si>
    <t>CO2 fra råmel til ovn</t>
  </si>
  <si>
    <t>CO2 fra brensel</t>
  </si>
  <si>
    <t>Sum CO2 produkter</t>
  </si>
  <si>
    <t>Kvotepliktig CO2</t>
  </si>
  <si>
    <t>Spesifiikk CO2 i klinker</t>
  </si>
  <si>
    <t>Spesifiikk CO2 i sement</t>
  </si>
  <si>
    <t>Rapport(er) for sementproduksjon</t>
  </si>
  <si>
    <t>Timer mølle 3 FA sement</t>
  </si>
  <si>
    <t>Produsert FA sement mølle 3</t>
  </si>
  <si>
    <t>Driftstid for mølle 3 FA sement</t>
  </si>
  <si>
    <t>Tonn pr. Time mølle 3 FA sement</t>
  </si>
  <si>
    <t>Spesifikt energiforbruk mølle 3 FA sement</t>
  </si>
  <si>
    <t>Andelene klinker i FA sement for mølle 3</t>
  </si>
  <si>
    <t>Andelen Gips i FA sement for mølle 3</t>
  </si>
  <si>
    <t>Andel flyveaske i FA sement mølle 3</t>
  </si>
  <si>
    <t>Andelen Jernsulfat i FA sement for mølle 3</t>
  </si>
  <si>
    <t>Andelen Kalkmel i FA sement for mølle 3</t>
  </si>
  <si>
    <t>Andelen Bypass-støv i FA sement mølle 3</t>
  </si>
  <si>
    <t>Andelen malahjelpemiddel i FA sement mølle 3</t>
  </si>
  <si>
    <t>Rapport Mølle 4 FA</t>
  </si>
  <si>
    <t>Timer mølle 4 FA sement</t>
  </si>
  <si>
    <t>Produsert FA sement mølle 4</t>
  </si>
  <si>
    <t>Driftstid for mølle 4 FA sement</t>
  </si>
  <si>
    <t>Tonn pr. Time mølle 4 FA sement</t>
  </si>
  <si>
    <t>Spesifikt energiforbruk mølle 4 FA sement</t>
  </si>
  <si>
    <t>Andelene klinker i FA sement for mølle 4</t>
  </si>
  <si>
    <t>Andelen Gips i FA sement for mølle 4</t>
  </si>
  <si>
    <t>Andel flyveaske i FA sement mølle 4</t>
  </si>
  <si>
    <t>Andelen Jernsulfat i FA sement for mølle 4</t>
  </si>
  <si>
    <t>Andelen Kalkmel i FA sement for mølle 4</t>
  </si>
  <si>
    <t>Andelen Bypass-støv i FA sement mølle 4</t>
  </si>
  <si>
    <t>Andelen malahjelpemiddel i FA sement mølle 4</t>
  </si>
  <si>
    <t>Rapport Mølle 4 Ind</t>
  </si>
  <si>
    <t>Timer mølle 4 Industri sement</t>
  </si>
  <si>
    <t>Produsert Industri sement mølle 4</t>
  </si>
  <si>
    <t>Driftstid for mølle 4 Industri sement</t>
  </si>
  <si>
    <t>Tonn pr. Time mølle 4 Industri sement</t>
  </si>
  <si>
    <t>Spesifikt energiforbruk mølle 4 Industri sement</t>
  </si>
  <si>
    <t>Andelene klinker i Industri sement for mølle 4</t>
  </si>
  <si>
    <t>Andelen Gips i Industri sement for mølle 4</t>
  </si>
  <si>
    <t>Andelen JernsulIndustrit i Industri sement for mølle 4</t>
  </si>
  <si>
    <t>Andelen Kalkmel i Industri sement for mølle 4</t>
  </si>
  <si>
    <t>Andelen Bypass-støv i Industri sement mølle 4</t>
  </si>
  <si>
    <t>Andelen malahjelpemiddel i Industri sement mølle 4</t>
  </si>
  <si>
    <t>Rapport valsepresse</t>
  </si>
  <si>
    <t>Tiimer valsepresse</t>
  </si>
  <si>
    <t>Sum energiforbruk valsepresse</t>
  </si>
  <si>
    <t>Driftsrid valsepresse i forhold til mølle 4</t>
  </si>
  <si>
    <t>Sum produksjon sement</t>
  </si>
  <si>
    <t>Sum klinker i sement</t>
  </si>
  <si>
    <t>Sum Industrisement</t>
  </si>
  <si>
    <t>Sum FA sement</t>
  </si>
  <si>
    <t>Totalt produsert sement</t>
  </si>
  <si>
    <t>Klinker til sement faktor</t>
  </si>
  <si>
    <t>name</t>
  </si>
  <si>
    <t>prod_unit</t>
  </si>
  <si>
    <t>long_name</t>
  </si>
  <si>
    <t>plc_tag</t>
  </si>
  <si>
    <t>unit</t>
  </si>
  <si>
    <t>tag_type</t>
  </si>
  <si>
    <t>Nummer på dunge fra analysaor</t>
  </si>
  <si>
    <t>Coal</t>
  </si>
  <si>
    <t>Pellets</t>
  </si>
  <si>
    <t>FAB</t>
  </si>
  <si>
    <t>WasteTyre</t>
  </si>
  <si>
    <t>LimeStone</t>
  </si>
  <si>
    <t>Sulphat</t>
  </si>
  <si>
    <t>EnergyReport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</si>
</sst>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8"/>
      <color theme="1"/>
      <name val="Calibri"/>
      <family val="2"/>
    </font>
    <font>
      <b/>
      <sz val="11"/>
      <color theme="3"/>
      <name val="Calibri"/>
      <family val="2"/>
    </font>
    <font>
      <b/>
      <sz val="8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0" fontId="1" fillId="0" borderId="1" xfId="1"/>
    <xf numFmtId="0" fontId="0" fillId="0" borderId="0" xfId="0" applyNumberFormat="1"/>
    <xf numFmtId="0" fontId="2" fillId="0" borderId="0" xfId="0" applyFont="1"/>
  </cellXfs>
  <cellStyles count="2">
    <cellStyle name="Heading 3" xfId="1" builtinId="18"/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EA53FC-8650-4DD3-A5AC-90B357752CD9}" name="tblDepartments" displayName="tblDepartments" ref="X10:Y24" totalsRowShown="0">
  <tableColumns count="2">
    <tableColumn id="1" xr3:uid="{CF08EF27-6D38-4974-9527-821A8CE29109}" name="DepartmentID"/>
    <tableColumn id="2" xr3:uid="{571EB24A-7EE3-4679-80BF-322254947330}" name="Department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C2A5BF-E779-409A-8904-E810DF705285}" name="tblInputTypes" displayName="tblInputTypes" ref="U10:V14" totalsRowShown="0">
  <tableColumns count="2">
    <tableColumn id="1" xr3:uid="{D7307E91-6A12-44D1-867E-C6052A7BDC17}" name="InputTypeID"/>
    <tableColumn id="2" xr3:uid="{0717D836-0A5C-4135-9134-D382F9597353}" name="InputType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F6436D-A406-4A1E-AB0E-724843812CFB}" name="tblMeasurements" displayName="tblMeasurements" ref="AG10:AJ11" insertRow="1" totalsRowShown="0">
  <autoFilter ref="AG10:AJ11" xr:uid="{73F6436D-A406-4A1E-AB0E-724843812CFB}"/>
  <tableColumns count="4">
    <tableColumn id="1" xr3:uid="{0CEBB8B3-98A0-4280-B5CC-EA6E655CA023}" name="MeasurementID"/>
    <tableColumn id="2" xr3:uid="{AD05E1E3-53A2-466D-AC81-D2DD13A3A938}" name="TagID"/>
    <tableColumn id="3" xr3:uid="{4C9D5CFA-66B7-4680-A046-E9150A3D27D8}" name="MeasurementDate"/>
    <tableColumn id="4" xr3:uid="{D883DDAE-C064-4DE0-B550-9CC849B9CF44}" name="Tag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B7391C-B556-4E9D-A9D8-AC0CEDAF1896}" name="tblSubDepartments" displayName="tblSubDepartments" ref="AA10:AB16" totalsRowShown="0">
  <tableColumns count="2">
    <tableColumn id="1" xr3:uid="{49C4ECB9-E863-42FD-8871-76E235AEA85C}" name="SubDepartmentID"/>
    <tableColumn id="2" xr3:uid="{A89A592D-6A3D-4BD1-A4B3-AF7D0634626F}" name="SubDepartment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05809B-2AA2-4436-BEBD-21E7381B76B7}" name="tblTags" displayName="tblTags" ref="A10:R268" totalsRowShown="0">
  <tableColumns count="18">
    <tableColumn id="1" xr3:uid="{70DF928C-EF7B-4E0C-9B6A-7461356B9DB6}" name="TagID" dataDxfId="11"/>
    <tableColumn id="9" xr3:uid="{1BB8581B-5D7C-44C1-B6EE-63E556995D63}" name="SortOrder"/>
    <tableColumn id="2" xr3:uid="{91F5460E-6107-4606-A452-900D6788832D}" name="Tag"/>
    <tableColumn id="3" xr3:uid="{DA5D609C-188E-4D3B-BDC9-DF3155D369B1}" name="TagText"/>
    <tableColumn id="8" xr3:uid="{1699D4BF-5DCF-46E0-A36D-092F0923470E}" name="TagTextLong" dataDxfId="10"/>
    <tableColumn id="4" xr3:uid="{9B43F164-AD3E-422A-9C6F-4A74C4C79078}" name="InputTypeID" dataDxfId="9">
      <calculatedColumnFormula array="1">_xlfn.XLOOKUP(_xlfn.XLOOKUP(tblTags[[#This Row],[Tag]],db_drift!$B$2:$B$259,db_drift!$D$2:$D$259),tblInputTypes[[#All],[InputTypeName]],tblInputTypes[[#All],[InputTypeID]],"")</calculatedColumnFormula>
    </tableColumn>
    <tableColumn id="5" xr3:uid="{9D75102A-17AF-455E-B701-8450762E8309}" name="DepartmentID"/>
    <tableColumn id="6" xr3:uid="{A206C8CB-3858-490C-B31A-37FE0DA167AF}" name="SubDepartmentID"/>
    <tableColumn id="14" xr3:uid="{23F127FA-569E-4039-8775-AAB98C6C93F5}" name="DepartmentHeadingID" dataDxfId="8">
      <calculatedColumnFormula>_xlfn.XLOOKUP(_xlfn.XLOOKUP(tblTags[[#This Row],[Tag]],db_drift!$B$2:$B$259,db_drift!$A$2:$A$259),tblDepartmentHeadings[DepartmentHeading],tblDepartmentHeadings[DepartmentHeadingID],"")</calculatedColumnFormula>
    </tableColumn>
    <tableColumn id="7" xr3:uid="{93A13A52-06E8-424B-ADB6-63F5CF28DEEB}" name="UnitID"/>
    <tableColumn id="10" xr3:uid="{29B82C5E-5FE6-4CD1-8890-BE2F3F04A7FF}" name="FuelTypeID" dataDxfId="7">
      <calculatedColumnFormula>_xlfn.XLOOKUP(_xlfn.XLOOKUP(tblTags[[#This Row],[Tag]],db_drift!$B$2:$B$259,db_drift!$E$2:$E$259),tblFuelTypes[FuelType],tblFuelTypes[FuelTypeID],"")</calculatedColumnFormula>
    </tableColumn>
    <tableColumn id="11" xr3:uid="{CAFC9030-815C-4036-A5E8-A2B63EC8C645}" name="FuelAllocationID" dataDxfId="6">
      <calculatedColumnFormula>_xlfn.XLOOKUP(_xlfn.XLOOKUP(tblTags[[#This Row],[Tag]],db_drift!$B$2:$B$259,db_drift!$F$2:$F$259),tblFuelAllocations[FuelAllocation],tblFuelAllocations[FuelAllocationID],"")</calculatedColumnFormula>
    </tableColumn>
    <tableColumn id="12" xr3:uid="{887EFE22-01EF-470C-8516-2A7C7101C9A8}" name="HelpCalc1ID" dataDxfId="5">
      <calculatedColumnFormula>_xlfn.XLOOKUP(tblTags[[#This Row],[Tag]],tblHelpCalc1[Tag],tblHelpCalc1[Calc1ID],"")</calculatedColumnFormula>
    </tableColumn>
    <tableColumn id="13" xr3:uid="{2414FD12-2006-453D-BB3A-6F76AFF27AC0}" name="HelpCalc2ID" dataDxfId="4">
      <calculatedColumnFormula>_xlfn.XLOOKUP(tblTags[[#This Row],[Tag]],tblHelpCalc2[Tag],tblHelpCalc2[Calc2ID],"")</calculatedColumnFormula>
    </tableColumn>
    <tableColumn id="15" xr3:uid="{15C1AF67-F62F-4250-ADDE-AED00EFB6AD7}" name="HideTagID" dataDxfId="3">
      <calculatedColumnFormula>_xlfn.XLOOKUP(_xlfn.XLOOKUP(tblTags[[#This Row],[Tag]],tblDbDrift[Tag],tblDbDrift[Hide Tags]),tblHideTags[HideTag],tblHideTags[ID],"")</calculatedColumnFormula>
    </tableColumn>
    <tableColumn id="16" xr3:uid="{5C8FBE1D-17F0-4D4F-B38E-86C5694F8E09}" name="PlcTag" dataDxfId="2"/>
    <tableColumn id="17" xr3:uid="{2A1D1DE1-A3A7-40A5-AE46-FA511AA37DE6}" name="Description" dataDxfId="1"/>
    <tableColumn id="18" xr3:uid="{B00F99DC-E62A-463C-ABBF-81E81D527F98}" name="Formula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A5416C-E889-4DF7-97F8-43FBDE85F4B0}" name="tblUnits" displayName="tblUnits" ref="AD10:AE19" totalsRowShown="0">
  <tableColumns count="2">
    <tableColumn id="1" xr3:uid="{ADDFD330-BA55-4164-ACD2-78AB339FA50B}" name="UnitID"/>
    <tableColumn id="2" xr3:uid="{DF646193-96D0-40FA-A019-AEFFF93919BD}" name="Unit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DC1F04-8E61-48AF-A0AD-AA90C45289B5}" name="tblDescriptions" displayName="tblDescriptions" ref="AL10:AM11" insertRow="1" totalsRowShown="0">
  <autoFilter ref="AL10:AM11" xr:uid="{F8DC1F04-8E61-48AF-A0AD-AA90C45289B5}">
    <filterColumn colId="0" hiddenButton="1"/>
    <filterColumn colId="1" hiddenButton="1"/>
  </autoFilter>
  <tableColumns count="2">
    <tableColumn id="1" xr3:uid="{0E232943-3EFC-4581-A677-7C50E1195DC2}" name="Tag"/>
    <tableColumn id="8" xr3:uid="{83BD6F0F-37F1-4E13-9890-9FC2C1934D02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005B5D5-AB73-4801-87F2-46155831EE7C}" name="tblFuelTypes" displayName="tblFuelTypes" ref="U23:V25" totalsRowShown="0">
  <autoFilter ref="U23:V25" xr:uid="{3005B5D5-AB73-4801-87F2-46155831EE7C}">
    <filterColumn colId="0" hiddenButton="1"/>
    <filterColumn colId="1" hiddenButton="1"/>
  </autoFilter>
  <tableColumns count="2">
    <tableColumn id="1" xr3:uid="{64B6459F-41F5-409D-8B01-FF905071BFBF}" name="FuelTypeID"/>
    <tableColumn id="2" xr3:uid="{797290FA-6434-4AE5-8E73-35F63AA7E594}" name="Fuel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8644052-DAF4-4DD9-A041-037AAC4AE995}" name="tblFuelAllocations" displayName="tblFuelAllocations" ref="U28:V30" totalsRowShown="0">
  <autoFilter ref="U28:V30" xr:uid="{48644052-DAF4-4DD9-A041-037AAC4AE995}">
    <filterColumn colId="0" hiddenButton="1"/>
    <filterColumn colId="1" hiddenButton="1"/>
  </autoFilter>
  <tableColumns count="2">
    <tableColumn id="1" xr3:uid="{4398D8A9-82C5-4B0C-BD5A-1D6D4FCDB8FC}" name="FuelAllocationID"/>
    <tableColumn id="2" xr3:uid="{106438E7-57A3-44E4-9CF5-C9C5C0816CF9}" name="FuelAlloca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504995-6C84-459A-ADB6-9577B012EAE7}" name="tblDepartmentHeadings" displayName="tblDepartmentHeadings" ref="AO10:AQ30" totalsRowShown="0">
  <autoFilter ref="AO10:AQ30" xr:uid="{77504995-6C84-459A-ADB6-9577B012EAE7}"/>
  <tableColumns count="3">
    <tableColumn id="1" xr3:uid="{2F0E0A6A-BB27-4933-BF74-B42608403DAE}" name="DepartmentHeadingID"/>
    <tableColumn id="2" xr3:uid="{12FD8F3D-916B-4544-853B-C42D572BF192}" name="DepartmentHeading"/>
    <tableColumn id="3" xr3:uid="{FEA0AC64-0DC7-45C2-849C-DFA62754C4E8}" name="Tag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7429BC1-747B-4FA8-91D0-33310439323B}" name="tblHelpCalc1" displayName="tblHelpCalc1" ref="AS10:AU139" totalsRowShown="0">
  <autoFilter ref="AS10:AU139" xr:uid="{57429BC1-747B-4FA8-91D0-33310439323B}"/>
  <tableColumns count="3">
    <tableColumn id="1" xr3:uid="{FCF07284-F87F-4A8C-AD8A-2A803BFB52D9}" name="Calc1ID"/>
    <tableColumn id="2" xr3:uid="{6D261F68-BCE6-4594-87AC-9123DB7A19BD}" name="Tag"/>
    <tableColumn id="3" xr3:uid="{E853A063-A546-4D75-BC55-0DC140348CCF}" name="HelpCalc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E088020-E11E-4E5F-B506-2CDCBE458AA0}" name="tblHelpCalc2" displayName="tblHelpCalc2" ref="AW10:AY78" totalsRowShown="0">
  <autoFilter ref="AW10:AY78" xr:uid="{1E088020-E11E-4E5F-B506-2CDCBE458AA0}"/>
  <tableColumns count="3">
    <tableColumn id="1" xr3:uid="{12944577-2660-4F7F-9A30-CC306AACD476}" name="Calc2ID"/>
    <tableColumn id="2" xr3:uid="{12C17EC2-422E-4DBA-BFF3-AACE2DF6C426}" name="Tag"/>
    <tableColumn id="3" xr3:uid="{5CFD5C65-BC01-4F81-B709-37C59A707979}" name="HelpCalc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A2F2E6-D848-46BC-A217-BEDF14A823DC}" name="tblHideTags" displayName="tblHideTags" ref="BA10:BB12" totalsRowShown="0">
  <autoFilter ref="BA10:BB12" xr:uid="{57A2F2E6-D848-46BC-A217-BEDF14A823DC}"/>
  <tableColumns count="2">
    <tableColumn id="1" xr3:uid="{4C869F07-AE1A-480F-B409-659D3FB41A96}" name="ID"/>
    <tableColumn id="3" xr3:uid="{FD35B2E7-6133-4CA7-9888-80BDB07B4D07}" name="HideTag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0F6645-7597-478C-B16B-016E2CE6359F}" name="tblDbDrift" displayName="tblDbDrift" ref="A1:J259" totalsRowShown="0">
  <autoFilter ref="A1:J259" xr:uid="{4F0F6645-7597-478C-B16B-016E2CE6359F}"/>
  <tableColumns count="10">
    <tableColumn id="1" xr3:uid="{7A0BF630-299D-4093-8A5D-7FA76DB3FEFD}" name="Department"/>
    <tableColumn id="2" xr3:uid="{0DF00ACD-9311-42AE-9D87-AB209742C996}" name="Tag"/>
    <tableColumn id="3" xr3:uid="{B47D2D57-56D6-414A-A8CD-642FB6939157}" name="Text"/>
    <tableColumn id="4" xr3:uid="{7274CCB8-9ACC-4255-BB07-A14C6CD0AC2E}" name="InputType"/>
    <tableColumn id="5" xr3:uid="{04557E6F-70E2-44D6-B403-8D15648CA47D}" name="Fuel Type"/>
    <tableColumn id="6" xr3:uid="{C2A229B8-E81D-4C61-9D7F-AB8507B52652}" name="Fuel Allocation"/>
    <tableColumn id="7" xr3:uid="{8E24ED57-C0AE-4E2F-B59D-5F56A4784107}" name="Help Tags Calc"/>
    <tableColumn id="8" xr3:uid="{6A0D92E1-B753-4664-BB33-FFDF0E096260}" name="Help Tags Cement"/>
    <tableColumn id="9" xr3:uid="{311A6173-39C2-4558-A15F-33A07C8CA4C3}" name="Comments"/>
    <tableColumn id="10" xr3:uid="{59619400-0CA1-4E69-88BC-F0FDD3F68746}" name="Hide Tag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66B90A-588F-4940-9A19-14A8AC3D3CA6}" name="tblPopulates" displayName="tblPopulates" ref="C7:C19" totalsRowShown="0">
  <tableColumns count="1">
    <tableColumn id="1" xr3:uid="{36DFA8D4-E358-440B-A79D-E35E8302E7F2}" name="Table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E055B-46BD-470C-8A20-274854CD29AE}">
  <sheetPr codeName="Sheet28"/>
  <dimension ref="A1:C1"/>
  <sheetViews>
    <sheetView workbookViewId="0">
      <selection activeCell="A2" sqref="A2"/>
    </sheetView>
  </sheetViews>
  <sheetFormatPr defaultRowHeight="11.25" x14ac:dyDescent="0.2"/>
  <cols>
    <col min="2" max="2" width="15.83203125" customWidth="1"/>
  </cols>
  <sheetData>
    <row r="1" spans="1:3" x14ac:dyDescent="0.2">
      <c r="A1" t="s">
        <v>362</v>
      </c>
      <c r="B1" t="s">
        <v>364</v>
      </c>
      <c r="C1" t="s">
        <v>365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695F1-8DED-478B-B68C-04E4878BFB0C}">
  <sheetPr codeName="Sheet1"/>
  <dimension ref="A8:BB268"/>
  <sheetViews>
    <sheetView zoomScale="120" zoomScaleNormal="120" workbookViewId="0"/>
  </sheetViews>
  <sheetFormatPr defaultRowHeight="11.25" x14ac:dyDescent="0.2"/>
  <cols>
    <col min="3" max="3" width="28.33203125" bestFit="1" customWidth="1"/>
    <col min="4" max="4" width="21.83203125" bestFit="1" customWidth="1"/>
    <col min="5" max="5" width="21.83203125" customWidth="1"/>
    <col min="6" max="6" width="13" bestFit="1" customWidth="1"/>
    <col min="7" max="7" width="14.6640625" bestFit="1" customWidth="1"/>
    <col min="8" max="8" width="17.6640625" bestFit="1" customWidth="1"/>
    <col min="9" max="9" width="17.6640625" customWidth="1"/>
    <col min="10" max="10" width="8.5" bestFit="1" customWidth="1"/>
    <col min="11" max="12" width="8.5" customWidth="1"/>
    <col min="13" max="13" width="15.1640625" customWidth="1"/>
    <col min="14" max="19" width="16.6640625" customWidth="1"/>
    <col min="20" max="20" width="5" customWidth="1"/>
    <col min="21" max="21" width="16.1640625" customWidth="1"/>
    <col min="22" max="22" width="14.5" customWidth="1"/>
    <col min="23" max="23" width="5" customWidth="1"/>
    <col min="24" max="24" width="14.5" customWidth="1"/>
    <col min="25" max="25" width="17.33203125" customWidth="1"/>
    <col min="26" max="26" width="5" customWidth="1"/>
    <col min="27" max="27" width="15.33203125" bestFit="1" customWidth="1"/>
    <col min="28" max="28" width="18.33203125" bestFit="1" customWidth="1"/>
    <col min="29" max="29" width="5" customWidth="1"/>
    <col min="30" max="30" width="7.5" customWidth="1"/>
    <col min="31" max="31" width="10.5" customWidth="1"/>
    <col min="32" max="32" width="5" customWidth="1"/>
    <col min="33" max="33" width="16" customWidth="1"/>
    <col min="35" max="35" width="18" customWidth="1"/>
    <col min="36" max="36" width="10.33203125" customWidth="1"/>
    <col min="38" max="38" width="22.1640625" bestFit="1" customWidth="1"/>
    <col min="39" max="39" width="27" customWidth="1"/>
    <col min="40" max="40" width="20.1640625" customWidth="1"/>
    <col min="41" max="41" width="10" customWidth="1"/>
    <col min="42" max="42" width="19.1640625" customWidth="1"/>
    <col min="43" max="43" width="23.6640625" bestFit="1" customWidth="1"/>
    <col min="44" max="44" width="11.1640625" customWidth="1"/>
    <col min="45" max="45" width="11" customWidth="1"/>
    <col min="46" max="46" width="40" customWidth="1"/>
    <col min="47" max="47" width="56.33203125" bestFit="1" customWidth="1"/>
    <col min="48" max="48" width="17.33203125" customWidth="1"/>
    <col min="50" max="50" width="25" bestFit="1" customWidth="1"/>
    <col min="51" max="51" width="35.83203125" bestFit="1" customWidth="1"/>
    <col min="53" max="53" width="11.1640625" customWidth="1"/>
    <col min="54" max="54" width="28.1640625" bestFit="1" customWidth="1"/>
    <col min="55" max="55" width="9.83203125" customWidth="1"/>
  </cols>
  <sheetData>
    <row r="8" spans="1:54" s="1" customFormat="1" ht="15.75" thickBot="1" x14ac:dyDescent="0.3">
      <c r="C8" s="1" t="s">
        <v>340</v>
      </c>
      <c r="U8" s="1" t="s">
        <v>341</v>
      </c>
      <c r="X8" s="1" t="s">
        <v>342</v>
      </c>
      <c r="AA8" s="1" t="s">
        <v>343</v>
      </c>
      <c r="AD8" s="1" t="s">
        <v>344</v>
      </c>
      <c r="AG8" s="1" t="s">
        <v>345</v>
      </c>
      <c r="AL8" s="1" t="s">
        <v>363</v>
      </c>
      <c r="AO8" s="1" t="s">
        <v>598</v>
      </c>
      <c r="AT8" s="1" t="s">
        <v>602</v>
      </c>
      <c r="AX8" s="1" t="s">
        <v>603</v>
      </c>
      <c r="BB8" s="1" t="s">
        <v>608</v>
      </c>
    </row>
    <row r="10" spans="1:54" x14ac:dyDescent="0.2">
      <c r="A10" t="s">
        <v>21</v>
      </c>
      <c r="B10" t="s">
        <v>368</v>
      </c>
      <c r="C10" t="s">
        <v>31</v>
      </c>
      <c r="D10" t="s">
        <v>32</v>
      </c>
      <c r="E10" t="s">
        <v>359</v>
      </c>
      <c r="F10" t="s">
        <v>14</v>
      </c>
      <c r="G10" t="s">
        <v>0</v>
      </c>
      <c r="H10" t="s">
        <v>24</v>
      </c>
      <c r="I10" t="s">
        <v>596</v>
      </c>
      <c r="J10" t="s">
        <v>33</v>
      </c>
      <c r="K10" t="s">
        <v>371</v>
      </c>
      <c r="L10" t="s">
        <v>593</v>
      </c>
      <c r="M10" t="s">
        <v>604</v>
      </c>
      <c r="N10" t="s">
        <v>605</v>
      </c>
      <c r="O10" t="s">
        <v>609</v>
      </c>
      <c r="P10" t="s">
        <v>611</v>
      </c>
      <c r="Q10" t="s">
        <v>361</v>
      </c>
      <c r="R10" t="s">
        <v>612</v>
      </c>
      <c r="U10" t="s">
        <v>14</v>
      </c>
      <c r="V10" t="s">
        <v>15</v>
      </c>
      <c r="X10" t="s">
        <v>0</v>
      </c>
      <c r="Y10" t="s">
        <v>1</v>
      </c>
      <c r="AA10" t="s">
        <v>24</v>
      </c>
      <c r="AB10" t="s">
        <v>25</v>
      </c>
      <c r="AD10" t="s">
        <v>33</v>
      </c>
      <c r="AE10" t="s">
        <v>330</v>
      </c>
      <c r="AG10" t="s">
        <v>20</v>
      </c>
      <c r="AH10" t="s">
        <v>21</v>
      </c>
      <c r="AI10" t="s">
        <v>22</v>
      </c>
      <c r="AJ10" t="s">
        <v>23</v>
      </c>
      <c r="AL10" t="s">
        <v>31</v>
      </c>
      <c r="AM10" t="s">
        <v>361</v>
      </c>
      <c r="AO10" t="s">
        <v>596</v>
      </c>
      <c r="AP10" t="s">
        <v>597</v>
      </c>
      <c r="AQ10" t="s">
        <v>31</v>
      </c>
      <c r="AS10" t="s">
        <v>600</v>
      </c>
      <c r="AT10" t="s">
        <v>31</v>
      </c>
      <c r="AU10" t="s">
        <v>594</v>
      </c>
      <c r="AW10" t="s">
        <v>601</v>
      </c>
      <c r="AX10" t="s">
        <v>31</v>
      </c>
      <c r="AY10" t="s">
        <v>595</v>
      </c>
      <c r="BA10" t="s">
        <v>606</v>
      </c>
      <c r="BB10" t="s">
        <v>607</v>
      </c>
    </row>
    <row r="11" spans="1:54" x14ac:dyDescent="0.2">
      <c r="A11">
        <v>1</v>
      </c>
      <c r="B11">
        <v>1</v>
      </c>
      <c r="C11" t="s">
        <v>11</v>
      </c>
      <c r="F11" t="str" cm="1">
        <f t="array" ref="F11">_xlfn.XLOOKUP(_xlfn.XLOOKUP(tblTags[[#This Row],[Tag]],db_drift!$B$2:$B$259,db_drift!$D$2:$D$259),tblInputTypes[[#All],[InputTypeName]],tblInputTypes[[#All],[InputTypeID]],"")</f>
        <v/>
      </c>
      <c r="G11">
        <v>10</v>
      </c>
      <c r="I11" t="str">
        <f>_xlfn.XLOOKUP(_xlfn.XLOOKUP(tblTags[[#This Row],[Tag]],db_drift!$B$2:$B$259,db_drift!$A$2:$A$259),tblDepartmentHeadings[DepartmentHeading],tblDepartmentHeadings[DepartmentHeadingID],"")</f>
        <v/>
      </c>
      <c r="K11" t="str">
        <f>_xlfn.XLOOKUP(_xlfn.XLOOKUP(tblTags[[#This Row],[Tag]],db_drift!$B$2:$B$259,db_drift!$E$2:$E$259),tblFuelTypes[FuelType],tblFuelTypes[FuelTypeID],"")</f>
        <v/>
      </c>
      <c r="L11" t="str">
        <f>_xlfn.XLOOKUP(_xlfn.XLOOKUP(tblTags[[#This Row],[Tag]],db_drift!$B$2:$B$259,db_drift!$F$2:$F$259),tblFuelAllocations[FuelAllocation],tblFuelAllocations[FuelAllocationID],"")</f>
        <v/>
      </c>
      <c r="M11" t="str">
        <f>_xlfn.XLOOKUP(tblTags[[#This Row],[Tag]],tblHelpCalc1[Tag],tblHelpCalc1[Calc1ID],"")</f>
        <v/>
      </c>
      <c r="N11" t="str">
        <f>_xlfn.XLOOKUP(tblTags[[#This Row],[Tag]],tblHelpCalc2[Tag],tblHelpCalc2[Calc2ID],"")</f>
        <v/>
      </c>
      <c r="O11" s="2" t="str">
        <f>_xlfn.XLOOKUP(_xlfn.XLOOKUP(tblTags[[#This Row],[Tag]],tblDbDrift[Tag],tblDbDrift[Hide Tags]),tblHideTags[HideTag],tblHideTags[ID],"")</f>
        <v/>
      </c>
      <c r="P11" s="2"/>
      <c r="Q11" s="2" t="s">
        <v>613</v>
      </c>
      <c r="R11" s="2"/>
      <c r="S11" s="2"/>
      <c r="U11">
        <v>1</v>
      </c>
      <c r="V11" t="s">
        <v>16</v>
      </c>
      <c r="X11">
        <v>1</v>
      </c>
      <c r="Y11" t="s">
        <v>2</v>
      </c>
      <c r="AA11">
        <v>1</v>
      </c>
      <c r="AB11" t="s">
        <v>26</v>
      </c>
      <c r="AD11">
        <v>1</v>
      </c>
      <c r="AE11" t="s">
        <v>331</v>
      </c>
      <c r="AO11">
        <v>1</v>
      </c>
      <c r="AP11" t="s">
        <v>502</v>
      </c>
      <c r="AQ11" t="s">
        <v>34</v>
      </c>
      <c r="AS11">
        <v>1</v>
      </c>
      <c r="AT11" t="s">
        <v>243</v>
      </c>
      <c r="AU11" t="s">
        <v>524</v>
      </c>
      <c r="AW11">
        <v>1</v>
      </c>
      <c r="AX11" t="s">
        <v>132</v>
      </c>
      <c r="AY11" t="s">
        <v>132</v>
      </c>
      <c r="BA11">
        <v>1</v>
      </c>
      <c r="BB11" t="s">
        <v>503</v>
      </c>
    </row>
    <row r="12" spans="1:54" x14ac:dyDescent="0.2">
      <c r="A12">
        <v>2</v>
      </c>
      <c r="B12">
        <v>2</v>
      </c>
      <c r="C12" t="s">
        <v>34</v>
      </c>
      <c r="D12" t="s">
        <v>35</v>
      </c>
      <c r="E12" t="s">
        <v>35</v>
      </c>
      <c r="F12" cm="1">
        <f t="array" ref="F12">_xlfn.XLOOKUP(_xlfn.XLOOKUP(tblTags[[#This Row],[Tag]],db_drift!$B$2:$B$259,db_drift!$D$2:$D$259),tblInputTypes[[#All],[InputTypeName]],tblInputTypes[[#All],[InputTypeID]],"")</f>
        <v>2</v>
      </c>
      <c r="G12">
        <v>10</v>
      </c>
      <c r="I12">
        <f>_xlfn.XLOOKUP(_xlfn.XLOOKUP(tblTags[[#This Row],[Tag]],db_drift!$B$2:$B$259,db_drift!$A$2:$A$259),tblDepartmentHeadings[DepartmentHeading],tblDepartmentHeadings[DepartmentHeadingID],"")</f>
        <v>1</v>
      </c>
      <c r="J12">
        <v>9</v>
      </c>
      <c r="K12" t="str">
        <f>_xlfn.XLOOKUP(_xlfn.XLOOKUP(tblTags[[#This Row],[Tag]],db_drift!$B$2:$B$259,db_drift!$E$2:$E$259),tblFuelTypes[FuelType],tblFuelTypes[FuelTypeID],"")</f>
        <v/>
      </c>
      <c r="L12" t="str">
        <f>_xlfn.XLOOKUP(_xlfn.XLOOKUP(tblTags[[#This Row],[Tag]],db_drift!$B$2:$B$259,db_drift!$F$2:$F$259),tblFuelAllocations[FuelAllocation],tblFuelAllocations[FuelAllocationID],"")</f>
        <v/>
      </c>
      <c r="M12" t="str">
        <f>_xlfn.XLOOKUP(tblTags[[#This Row],[Tag]],tblHelpCalc1[Tag],tblHelpCalc1[Calc1ID],"")</f>
        <v/>
      </c>
      <c r="N12" t="str">
        <f>_xlfn.XLOOKUP(tblTags[[#This Row],[Tag]],tblHelpCalc2[Tag],tblHelpCalc2[Calc2ID],"")</f>
        <v/>
      </c>
      <c r="O12" s="2" t="str">
        <f>_xlfn.XLOOKUP(_xlfn.XLOOKUP(tblTags[[#This Row],[Tag]],tblDbDrift[Tag],tblDbDrift[Hide Tags]),tblHideTags[HideTag],tblHideTags[ID],"")</f>
        <v/>
      </c>
      <c r="P12" s="2"/>
      <c r="Q12" s="2" t="s">
        <v>346</v>
      </c>
      <c r="R12" s="2"/>
      <c r="S12" s="2"/>
      <c r="U12">
        <v>2</v>
      </c>
      <c r="V12" t="s">
        <v>17</v>
      </c>
      <c r="X12">
        <v>2</v>
      </c>
      <c r="Y12" t="s">
        <v>3</v>
      </c>
      <c r="AA12">
        <v>2</v>
      </c>
      <c r="AB12" t="s">
        <v>27</v>
      </c>
      <c r="AD12">
        <v>2</v>
      </c>
      <c r="AE12" t="s">
        <v>332</v>
      </c>
      <c r="AO12">
        <v>2</v>
      </c>
      <c r="AP12" t="s">
        <v>391</v>
      </c>
      <c r="AQ12" t="s">
        <v>56</v>
      </c>
      <c r="AS12">
        <v>2</v>
      </c>
      <c r="AT12" t="s">
        <v>244</v>
      </c>
      <c r="AU12" t="s">
        <v>525</v>
      </c>
      <c r="AW12">
        <v>2</v>
      </c>
      <c r="AX12" t="s">
        <v>133</v>
      </c>
      <c r="AY12" t="s">
        <v>510</v>
      </c>
      <c r="BA12">
        <v>2</v>
      </c>
      <c r="BB12" t="s">
        <v>610</v>
      </c>
    </row>
    <row r="13" spans="1:54" x14ac:dyDescent="0.2">
      <c r="A13">
        <v>3</v>
      </c>
      <c r="B13">
        <v>3</v>
      </c>
      <c r="C13" t="s">
        <v>36</v>
      </c>
      <c r="D13" t="s">
        <v>37</v>
      </c>
      <c r="E13" t="s">
        <v>37</v>
      </c>
      <c r="F13" cm="1">
        <f t="array" ref="F13">_xlfn.XLOOKUP(_xlfn.XLOOKUP(tblTags[[#This Row],[Tag]],db_drift!$B$2:$B$259,db_drift!$D$2:$D$259),tblInputTypes[[#All],[InputTypeName]],tblInputTypes[[#All],[InputTypeID]],"")</f>
        <v>2</v>
      </c>
      <c r="G13">
        <v>10</v>
      </c>
      <c r="I13" t="str">
        <f>_xlfn.XLOOKUP(_xlfn.XLOOKUP(tblTags[[#This Row],[Tag]],db_drift!$B$2:$B$259,db_drift!$A$2:$A$259),tblDepartmentHeadings[DepartmentHeading],tblDepartmentHeadings[DepartmentHeadingID],"")</f>
        <v/>
      </c>
      <c r="J13">
        <v>7</v>
      </c>
      <c r="K13" t="str">
        <f>_xlfn.XLOOKUP(_xlfn.XLOOKUP(tblTags[[#This Row],[Tag]],db_drift!$B$2:$B$259,db_drift!$E$2:$E$259),tblFuelTypes[FuelType],tblFuelTypes[FuelTypeID],"")</f>
        <v/>
      </c>
      <c r="L13" t="str">
        <f>_xlfn.XLOOKUP(_xlfn.XLOOKUP(tblTags[[#This Row],[Tag]],db_drift!$B$2:$B$259,db_drift!$F$2:$F$259),tblFuelAllocations[FuelAllocation],tblFuelAllocations[FuelAllocationID],"")</f>
        <v/>
      </c>
      <c r="M13" t="str">
        <f>_xlfn.XLOOKUP(tblTags[[#This Row],[Tag]],tblHelpCalc1[Tag],tblHelpCalc1[Calc1ID],"")</f>
        <v/>
      </c>
      <c r="N13" t="str">
        <f>_xlfn.XLOOKUP(tblTags[[#This Row],[Tag]],tblHelpCalc2[Tag],tblHelpCalc2[Calc2ID],"")</f>
        <v/>
      </c>
      <c r="O13" s="2" t="str">
        <f>_xlfn.XLOOKUP(_xlfn.XLOOKUP(tblTags[[#This Row],[Tag]],tblDbDrift[Tag],tblDbDrift[Hide Tags]),tblHideTags[HideTag],tblHideTags[ID],"")</f>
        <v/>
      </c>
      <c r="P13" s="2"/>
      <c r="Q13" s="2" t="s">
        <v>347</v>
      </c>
      <c r="R13" s="2"/>
      <c r="S13" s="2"/>
      <c r="U13">
        <v>3</v>
      </c>
      <c r="V13" t="s">
        <v>18</v>
      </c>
      <c r="X13">
        <v>3</v>
      </c>
      <c r="Y13" t="s">
        <v>4</v>
      </c>
      <c r="AA13">
        <v>3</v>
      </c>
      <c r="AB13" t="s">
        <v>28</v>
      </c>
      <c r="AD13">
        <v>3</v>
      </c>
      <c r="AE13" t="s">
        <v>333</v>
      </c>
      <c r="AO13">
        <v>3</v>
      </c>
      <c r="AP13" t="s">
        <v>504</v>
      </c>
      <c r="AQ13" t="s">
        <v>83</v>
      </c>
      <c r="AS13">
        <v>3</v>
      </c>
      <c r="AT13" t="s">
        <v>245</v>
      </c>
      <c r="AU13" t="s">
        <v>526</v>
      </c>
      <c r="AW13">
        <v>3</v>
      </c>
      <c r="AX13" t="s">
        <v>135</v>
      </c>
      <c r="AY13" t="s">
        <v>510</v>
      </c>
    </row>
    <row r="14" spans="1:54" x14ac:dyDescent="0.2">
      <c r="A14">
        <v>4</v>
      </c>
      <c r="B14">
        <v>4</v>
      </c>
      <c r="C14" t="s">
        <v>38</v>
      </c>
      <c r="D14" t="s">
        <v>39</v>
      </c>
      <c r="E14" t="s">
        <v>39</v>
      </c>
      <c r="F14" cm="1">
        <f t="array" ref="F14">_xlfn.XLOOKUP(_xlfn.XLOOKUP(tblTags[[#This Row],[Tag]],db_drift!$B$2:$B$259,db_drift!$D$2:$D$259),tblInputTypes[[#All],[InputTypeName]],tblInputTypes[[#All],[InputTypeID]],"")</f>
        <v>2</v>
      </c>
      <c r="G14">
        <v>10</v>
      </c>
      <c r="I14" t="str">
        <f>_xlfn.XLOOKUP(_xlfn.XLOOKUP(tblTags[[#This Row],[Tag]],db_drift!$B$2:$B$259,db_drift!$A$2:$A$259),tblDepartmentHeadings[DepartmentHeading],tblDepartmentHeadings[DepartmentHeadingID],"")</f>
        <v/>
      </c>
      <c r="J14">
        <v>9</v>
      </c>
      <c r="K14" t="str">
        <f>_xlfn.XLOOKUP(_xlfn.XLOOKUP(tblTags[[#This Row],[Tag]],db_drift!$B$2:$B$259,db_drift!$E$2:$E$259),tblFuelTypes[FuelType],tblFuelTypes[FuelTypeID],"")</f>
        <v/>
      </c>
      <c r="L14" t="str">
        <f>_xlfn.XLOOKUP(_xlfn.XLOOKUP(tblTags[[#This Row],[Tag]],db_drift!$B$2:$B$259,db_drift!$F$2:$F$259),tblFuelAllocations[FuelAllocation],tblFuelAllocations[FuelAllocationID],"")</f>
        <v/>
      </c>
      <c r="M14" t="str">
        <f>_xlfn.XLOOKUP(tblTags[[#This Row],[Tag]],tblHelpCalc1[Tag],tblHelpCalc1[Calc1ID],"")</f>
        <v/>
      </c>
      <c r="N14" t="str">
        <f>_xlfn.XLOOKUP(tblTags[[#This Row],[Tag]],tblHelpCalc2[Tag],tblHelpCalc2[Calc2ID],"")</f>
        <v/>
      </c>
      <c r="O14" s="2" t="str">
        <f>_xlfn.XLOOKUP(_xlfn.XLOOKUP(tblTags[[#This Row],[Tag]],tblDbDrift[Tag],tblDbDrift[Hide Tags]),tblHideTags[HideTag],tblHideTags[ID],"")</f>
        <v/>
      </c>
      <c r="P14" s="2"/>
      <c r="Q14" s="2" t="s">
        <v>348</v>
      </c>
      <c r="R14" s="2"/>
      <c r="S14" s="2"/>
      <c r="U14">
        <v>4</v>
      </c>
      <c r="V14" t="s">
        <v>19</v>
      </c>
      <c r="X14">
        <v>4</v>
      </c>
      <c r="Y14" t="s">
        <v>5</v>
      </c>
      <c r="AA14">
        <v>4</v>
      </c>
      <c r="AB14" t="s">
        <v>29</v>
      </c>
      <c r="AD14">
        <v>4</v>
      </c>
      <c r="AE14" t="s">
        <v>334</v>
      </c>
      <c r="AO14">
        <v>4</v>
      </c>
      <c r="AP14" t="s">
        <v>506</v>
      </c>
      <c r="AQ14" t="s">
        <v>108</v>
      </c>
      <c r="AS14">
        <v>4</v>
      </c>
      <c r="AT14" t="s">
        <v>247</v>
      </c>
      <c r="AU14" t="s">
        <v>527</v>
      </c>
      <c r="AW14">
        <v>4</v>
      </c>
      <c r="AX14" t="s">
        <v>137</v>
      </c>
      <c r="AY14" t="s">
        <v>510</v>
      </c>
    </row>
    <row r="15" spans="1:54" x14ac:dyDescent="0.2">
      <c r="A15">
        <v>5</v>
      </c>
      <c r="B15">
        <v>5</v>
      </c>
      <c r="C15" t="s">
        <v>40</v>
      </c>
      <c r="D15" t="s">
        <v>41</v>
      </c>
      <c r="E15" t="s">
        <v>41</v>
      </c>
      <c r="F15" cm="1">
        <f t="array" ref="F15">_xlfn.XLOOKUP(_xlfn.XLOOKUP(tblTags[[#This Row],[Tag]],db_drift!$B$2:$B$259,db_drift!$D$2:$D$259),tblInputTypes[[#All],[InputTypeName]],tblInputTypes[[#All],[InputTypeID]],"")</f>
        <v>2</v>
      </c>
      <c r="G15">
        <v>10</v>
      </c>
      <c r="I15" t="str">
        <f>_xlfn.XLOOKUP(_xlfn.XLOOKUP(tblTags[[#This Row],[Tag]],db_drift!$B$2:$B$259,db_drift!$A$2:$A$259),tblDepartmentHeadings[DepartmentHeading],tblDepartmentHeadings[DepartmentHeadingID],"")</f>
        <v/>
      </c>
      <c r="J15">
        <v>7</v>
      </c>
      <c r="K15" t="str">
        <f>_xlfn.XLOOKUP(_xlfn.XLOOKUP(tblTags[[#This Row],[Tag]],db_drift!$B$2:$B$259,db_drift!$E$2:$E$259),tblFuelTypes[FuelType],tblFuelTypes[FuelTypeID],"")</f>
        <v/>
      </c>
      <c r="L15" t="str">
        <f>_xlfn.XLOOKUP(_xlfn.XLOOKUP(tblTags[[#This Row],[Tag]],db_drift!$B$2:$B$259,db_drift!$F$2:$F$259),tblFuelAllocations[FuelAllocation],tblFuelAllocations[FuelAllocationID],"")</f>
        <v/>
      </c>
      <c r="M15" t="str">
        <f>_xlfn.XLOOKUP(tblTags[[#This Row],[Tag]],tblHelpCalc1[Tag],tblHelpCalc1[Calc1ID],"")</f>
        <v/>
      </c>
      <c r="N15" t="str">
        <f>_xlfn.XLOOKUP(tblTags[[#This Row],[Tag]],tblHelpCalc2[Tag],tblHelpCalc2[Calc2ID],"")</f>
        <v/>
      </c>
      <c r="O15" s="2" t="str">
        <f>_xlfn.XLOOKUP(_xlfn.XLOOKUP(tblTags[[#This Row],[Tag]],tblDbDrift[Tag],tblDbDrift[Hide Tags]),tblHideTags[HideTag],tblHideTags[ID],"")</f>
        <v/>
      </c>
      <c r="P15" s="2"/>
      <c r="Q15" s="2" t="s">
        <v>347</v>
      </c>
      <c r="R15" s="2"/>
      <c r="S15" s="2"/>
      <c r="X15">
        <v>5</v>
      </c>
      <c r="Y15" t="s">
        <v>6</v>
      </c>
      <c r="AA15">
        <v>5</v>
      </c>
      <c r="AB15" t="s">
        <v>30</v>
      </c>
      <c r="AD15">
        <v>5</v>
      </c>
      <c r="AE15" t="s">
        <v>335</v>
      </c>
      <c r="AO15">
        <v>5</v>
      </c>
      <c r="AP15" t="s">
        <v>508</v>
      </c>
      <c r="AQ15" t="s">
        <v>130</v>
      </c>
      <c r="AS15">
        <v>5</v>
      </c>
      <c r="AT15" t="s">
        <v>248</v>
      </c>
      <c r="AU15" t="s">
        <v>528</v>
      </c>
      <c r="AW15">
        <v>5</v>
      </c>
      <c r="AX15" t="s">
        <v>139</v>
      </c>
      <c r="AY15" t="s">
        <v>510</v>
      </c>
    </row>
    <row r="16" spans="1:54" x14ac:dyDescent="0.2">
      <c r="A16">
        <v>6</v>
      </c>
      <c r="B16">
        <v>6</v>
      </c>
      <c r="C16" t="s">
        <v>42</v>
      </c>
      <c r="D16" t="s">
        <v>349</v>
      </c>
      <c r="E16" t="s">
        <v>349</v>
      </c>
      <c r="F16" cm="1">
        <f t="array" ref="F16">_xlfn.XLOOKUP(_xlfn.XLOOKUP(tblTags[[#This Row],[Tag]],db_drift!$B$2:$B$259,db_drift!$D$2:$D$259),tblInputTypes[[#All],[InputTypeName]],tblInputTypes[[#All],[InputTypeID]],"")</f>
        <v>2</v>
      </c>
      <c r="G16">
        <v>10</v>
      </c>
      <c r="I16" t="str">
        <f>_xlfn.XLOOKUP(_xlfn.XLOOKUP(tblTags[[#This Row],[Tag]],db_drift!$B$2:$B$259,db_drift!$A$2:$A$259),tblDepartmentHeadings[DepartmentHeading],tblDepartmentHeadings[DepartmentHeadingID],"")</f>
        <v/>
      </c>
      <c r="J16">
        <v>9</v>
      </c>
      <c r="K16" t="str">
        <f>_xlfn.XLOOKUP(_xlfn.XLOOKUP(tblTags[[#This Row],[Tag]],db_drift!$B$2:$B$259,db_drift!$E$2:$E$259),tblFuelTypes[FuelType],tblFuelTypes[FuelTypeID],"")</f>
        <v/>
      </c>
      <c r="L16" t="str">
        <f>_xlfn.XLOOKUP(_xlfn.XLOOKUP(tblTags[[#This Row],[Tag]],db_drift!$B$2:$B$259,db_drift!$F$2:$F$259),tblFuelAllocations[FuelAllocation],tblFuelAllocations[FuelAllocationID],"")</f>
        <v/>
      </c>
      <c r="M16" t="str">
        <f>_xlfn.XLOOKUP(tblTags[[#This Row],[Tag]],tblHelpCalc1[Tag],tblHelpCalc1[Calc1ID],"")</f>
        <v/>
      </c>
      <c r="N16" t="str">
        <f>_xlfn.XLOOKUP(tblTags[[#This Row],[Tag]],tblHelpCalc2[Tag],tblHelpCalc2[Calc2ID],"")</f>
        <v/>
      </c>
      <c r="O16" s="2" t="str">
        <f>_xlfn.XLOOKUP(_xlfn.XLOOKUP(tblTags[[#This Row],[Tag]],tblDbDrift[Tag],tblDbDrift[Hide Tags]),tblHideTags[HideTag],tblHideTags[ID],"")</f>
        <v/>
      </c>
      <c r="P16" s="2"/>
      <c r="Q16" s="2" t="s">
        <v>350</v>
      </c>
      <c r="R16" s="2"/>
      <c r="S16" s="2"/>
      <c r="X16">
        <v>6</v>
      </c>
      <c r="Y16" t="s">
        <v>7</v>
      </c>
      <c r="AA16">
        <v>6</v>
      </c>
      <c r="AB16" t="s">
        <v>9</v>
      </c>
      <c r="AD16">
        <v>6</v>
      </c>
      <c r="AE16" t="s">
        <v>336</v>
      </c>
      <c r="AO16">
        <v>6</v>
      </c>
      <c r="AP16" t="s">
        <v>509</v>
      </c>
      <c r="AQ16" t="s">
        <v>132</v>
      </c>
      <c r="AS16">
        <v>6</v>
      </c>
      <c r="AT16" t="s">
        <v>249</v>
      </c>
      <c r="AU16" t="s">
        <v>529</v>
      </c>
      <c r="AW16">
        <v>6</v>
      </c>
      <c r="AX16" t="s">
        <v>141</v>
      </c>
      <c r="AY16" t="s">
        <v>510</v>
      </c>
    </row>
    <row r="17" spans="1:51" x14ac:dyDescent="0.2">
      <c r="A17">
        <v>7</v>
      </c>
      <c r="B17">
        <v>7</v>
      </c>
      <c r="C17" t="s">
        <v>43</v>
      </c>
      <c r="D17" t="s">
        <v>44</v>
      </c>
      <c r="E17" t="s">
        <v>44</v>
      </c>
      <c r="F17" cm="1">
        <f t="array" ref="F17">_xlfn.XLOOKUP(_xlfn.XLOOKUP(tblTags[[#This Row],[Tag]],db_drift!$B$2:$B$259,db_drift!$D$2:$D$259),tblInputTypes[[#All],[InputTypeName]],tblInputTypes[[#All],[InputTypeID]],"")</f>
        <v>2</v>
      </c>
      <c r="G17">
        <v>10</v>
      </c>
      <c r="I17" t="str">
        <f>_xlfn.XLOOKUP(_xlfn.XLOOKUP(tblTags[[#This Row],[Tag]],db_drift!$B$2:$B$259,db_drift!$A$2:$A$259),tblDepartmentHeadings[DepartmentHeading],tblDepartmentHeadings[DepartmentHeadingID],"")</f>
        <v/>
      </c>
      <c r="J17">
        <v>9</v>
      </c>
      <c r="K17" t="str">
        <f>_xlfn.XLOOKUP(_xlfn.XLOOKUP(tblTags[[#This Row],[Tag]],db_drift!$B$2:$B$259,db_drift!$E$2:$E$259),tblFuelTypes[FuelType],tblFuelTypes[FuelTypeID],"")</f>
        <v/>
      </c>
      <c r="L17" t="str">
        <f>_xlfn.XLOOKUP(_xlfn.XLOOKUP(tblTags[[#This Row],[Tag]],db_drift!$B$2:$B$259,db_drift!$F$2:$F$259),tblFuelAllocations[FuelAllocation],tblFuelAllocations[FuelAllocationID],"")</f>
        <v/>
      </c>
      <c r="M17" t="str">
        <f>_xlfn.XLOOKUP(tblTags[[#This Row],[Tag]],tblHelpCalc1[Tag],tblHelpCalc1[Calc1ID],"")</f>
        <v/>
      </c>
      <c r="N17" t="str">
        <f>_xlfn.XLOOKUP(tblTags[[#This Row],[Tag]],tblHelpCalc2[Tag],tblHelpCalc2[Calc2ID],"")</f>
        <v/>
      </c>
      <c r="O17" s="2" t="str">
        <f>_xlfn.XLOOKUP(_xlfn.XLOOKUP(tblTags[[#This Row],[Tag]],tblDbDrift[Tag],tblDbDrift[Hide Tags]),tblHideTags[HideTag],tblHideTags[ID],"")</f>
        <v/>
      </c>
      <c r="P17" s="2"/>
      <c r="Q17" s="2" t="s">
        <v>351</v>
      </c>
      <c r="R17" s="2"/>
      <c r="S17" s="2"/>
      <c r="X17">
        <v>7</v>
      </c>
      <c r="Y17" t="s">
        <v>8</v>
      </c>
      <c r="AD17">
        <v>7</v>
      </c>
      <c r="AE17" t="s">
        <v>337</v>
      </c>
      <c r="AO17">
        <v>7</v>
      </c>
      <c r="AP17" t="s">
        <v>511</v>
      </c>
      <c r="AQ17" t="s">
        <v>148</v>
      </c>
      <c r="AS17">
        <v>7</v>
      </c>
      <c r="AT17" t="s">
        <v>251</v>
      </c>
      <c r="AU17" t="s">
        <v>530</v>
      </c>
      <c r="AW17">
        <v>7</v>
      </c>
      <c r="AX17" t="s">
        <v>143</v>
      </c>
      <c r="AY17" t="s">
        <v>510</v>
      </c>
    </row>
    <row r="18" spans="1:51" x14ac:dyDescent="0.2">
      <c r="A18">
        <v>8</v>
      </c>
      <c r="B18">
        <v>8</v>
      </c>
      <c r="C18" t="s">
        <v>45</v>
      </c>
      <c r="D18" t="s">
        <v>352</v>
      </c>
      <c r="E18" t="s">
        <v>352</v>
      </c>
      <c r="F18" cm="1">
        <f t="array" ref="F18">_xlfn.XLOOKUP(_xlfn.XLOOKUP(tblTags[[#This Row],[Tag]],db_drift!$B$2:$B$259,db_drift!$D$2:$D$259),tblInputTypes[[#All],[InputTypeName]],tblInputTypes[[#All],[InputTypeID]],"")</f>
        <v>2</v>
      </c>
      <c r="G18">
        <v>10</v>
      </c>
      <c r="I18" t="str">
        <f>_xlfn.XLOOKUP(_xlfn.XLOOKUP(tblTags[[#This Row],[Tag]],db_drift!$B$2:$B$259,db_drift!$A$2:$A$259),tblDepartmentHeadings[DepartmentHeading],tblDepartmentHeadings[DepartmentHeadingID],"")</f>
        <v/>
      </c>
      <c r="J18">
        <v>9</v>
      </c>
      <c r="K18" t="str">
        <f>_xlfn.XLOOKUP(_xlfn.XLOOKUP(tblTags[[#This Row],[Tag]],db_drift!$B$2:$B$259,db_drift!$E$2:$E$259),tblFuelTypes[FuelType],tblFuelTypes[FuelTypeID],"")</f>
        <v/>
      </c>
      <c r="L18" t="str">
        <f>_xlfn.XLOOKUP(_xlfn.XLOOKUP(tblTags[[#This Row],[Tag]],db_drift!$B$2:$B$259,db_drift!$F$2:$F$259),tblFuelAllocations[FuelAllocation],tblFuelAllocations[FuelAllocationID],"")</f>
        <v/>
      </c>
      <c r="M18" t="str">
        <f>_xlfn.XLOOKUP(tblTags[[#This Row],[Tag]],tblHelpCalc1[Tag],tblHelpCalc1[Calc1ID],"")</f>
        <v/>
      </c>
      <c r="N18" t="str">
        <f>_xlfn.XLOOKUP(tblTags[[#This Row],[Tag]],tblHelpCalc2[Tag],tblHelpCalc2[Calc2ID],"")</f>
        <v/>
      </c>
      <c r="O18" s="2" t="str">
        <f>_xlfn.XLOOKUP(_xlfn.XLOOKUP(tblTags[[#This Row],[Tag]],tblDbDrift[Tag],tblDbDrift[Hide Tags]),tblHideTags[HideTag],tblHideTags[ID],"")</f>
        <v/>
      </c>
      <c r="P18" s="2"/>
      <c r="Q18" s="2" t="s">
        <v>353</v>
      </c>
      <c r="R18" s="2"/>
      <c r="S18" s="2"/>
      <c r="X18">
        <v>8</v>
      </c>
      <c r="Y18" t="s">
        <v>9</v>
      </c>
      <c r="AD18">
        <v>8</v>
      </c>
      <c r="AE18" t="s">
        <v>338</v>
      </c>
      <c r="AO18">
        <v>8</v>
      </c>
      <c r="AP18" t="s">
        <v>517</v>
      </c>
      <c r="AQ18" t="s">
        <v>164</v>
      </c>
      <c r="AS18">
        <v>8</v>
      </c>
      <c r="AT18" t="s">
        <v>252</v>
      </c>
      <c r="AU18" t="s">
        <v>531</v>
      </c>
      <c r="AW18">
        <v>8</v>
      </c>
      <c r="AX18" t="s">
        <v>144</v>
      </c>
      <c r="AY18" t="s">
        <v>510</v>
      </c>
    </row>
    <row r="19" spans="1:51" x14ac:dyDescent="0.2">
      <c r="A19">
        <v>9</v>
      </c>
      <c r="B19">
        <v>9</v>
      </c>
      <c r="C19" t="s">
        <v>46</v>
      </c>
      <c r="D19" t="s">
        <v>47</v>
      </c>
      <c r="E19" t="s">
        <v>47</v>
      </c>
      <c r="F19" cm="1">
        <f t="array" ref="F19">_xlfn.XLOOKUP(_xlfn.XLOOKUP(tblTags[[#This Row],[Tag]],db_drift!$B$2:$B$259,db_drift!$D$2:$D$259),tblInputTypes[[#All],[InputTypeName]],tblInputTypes[[#All],[InputTypeID]],"")</f>
        <v>2</v>
      </c>
      <c r="G19">
        <v>10</v>
      </c>
      <c r="I19" t="str">
        <f>_xlfn.XLOOKUP(_xlfn.XLOOKUP(tblTags[[#This Row],[Tag]],db_drift!$B$2:$B$259,db_drift!$A$2:$A$259),tblDepartmentHeadings[DepartmentHeading],tblDepartmentHeadings[DepartmentHeadingID],"")</f>
        <v/>
      </c>
      <c r="J19">
        <v>9</v>
      </c>
      <c r="K19" t="str">
        <f>_xlfn.XLOOKUP(_xlfn.XLOOKUP(tblTags[[#This Row],[Tag]],db_drift!$B$2:$B$259,db_drift!$E$2:$E$259),tblFuelTypes[FuelType],tblFuelTypes[FuelTypeID],"")</f>
        <v/>
      </c>
      <c r="L19" t="str">
        <f>_xlfn.XLOOKUP(_xlfn.XLOOKUP(tblTags[[#This Row],[Tag]],db_drift!$B$2:$B$259,db_drift!$F$2:$F$259),tblFuelAllocations[FuelAllocation],tblFuelAllocations[FuelAllocationID],"")</f>
        <v/>
      </c>
      <c r="M19" t="str">
        <f>_xlfn.XLOOKUP(tblTags[[#This Row],[Tag]],tblHelpCalc1[Tag],tblHelpCalc1[Calc1ID],"")</f>
        <v/>
      </c>
      <c r="N19" t="str">
        <f>_xlfn.XLOOKUP(tblTags[[#This Row],[Tag]],tblHelpCalc2[Tag],tblHelpCalc2[Calc2ID],"")</f>
        <v/>
      </c>
      <c r="O19" s="2" t="str">
        <f>_xlfn.XLOOKUP(_xlfn.XLOOKUP(tblTags[[#This Row],[Tag]],tblDbDrift[Tag],tblDbDrift[Hide Tags]),tblHideTags[HideTag],tblHideTags[ID],"")</f>
        <v/>
      </c>
      <c r="P19" s="2"/>
      <c r="Q19" s="2" t="s">
        <v>354</v>
      </c>
      <c r="R19" s="2"/>
      <c r="S19" s="2"/>
      <c r="X19">
        <v>9</v>
      </c>
      <c r="Y19" t="s">
        <v>10</v>
      </c>
      <c r="AD19">
        <v>9</v>
      </c>
      <c r="AE19" t="s">
        <v>339</v>
      </c>
      <c r="AO19">
        <v>9</v>
      </c>
      <c r="AP19" t="s">
        <v>521</v>
      </c>
      <c r="AQ19" t="s">
        <v>176</v>
      </c>
      <c r="AS19">
        <v>9</v>
      </c>
      <c r="AT19" t="s">
        <v>253</v>
      </c>
      <c r="AU19" t="s">
        <v>532</v>
      </c>
      <c r="AW19">
        <v>9</v>
      </c>
      <c r="AX19" t="s">
        <v>145</v>
      </c>
      <c r="AY19" t="s">
        <v>510</v>
      </c>
    </row>
    <row r="20" spans="1:51" x14ac:dyDescent="0.2">
      <c r="A20">
        <v>10</v>
      </c>
      <c r="B20">
        <v>10</v>
      </c>
      <c r="C20" t="s">
        <v>48</v>
      </c>
      <c r="D20" t="s">
        <v>49</v>
      </c>
      <c r="E20" t="s">
        <v>49</v>
      </c>
      <c r="F20" cm="1">
        <f t="array" ref="F20">_xlfn.XLOOKUP(_xlfn.XLOOKUP(tblTags[[#This Row],[Tag]],db_drift!$B$2:$B$259,db_drift!$D$2:$D$259),tblInputTypes[[#All],[InputTypeName]],tblInputTypes[[#All],[InputTypeID]],"")</f>
        <v>2</v>
      </c>
      <c r="G20">
        <v>10</v>
      </c>
      <c r="I20" t="str">
        <f>_xlfn.XLOOKUP(_xlfn.XLOOKUP(tblTags[[#This Row],[Tag]],db_drift!$B$2:$B$259,db_drift!$A$2:$A$259),tblDepartmentHeadings[DepartmentHeading],tblDepartmentHeadings[DepartmentHeadingID],"")</f>
        <v/>
      </c>
      <c r="J20">
        <v>9</v>
      </c>
      <c r="K20" t="str">
        <f>_xlfn.XLOOKUP(_xlfn.XLOOKUP(tblTags[[#This Row],[Tag]],db_drift!$B$2:$B$259,db_drift!$E$2:$E$259),tblFuelTypes[FuelType],tblFuelTypes[FuelTypeID],"")</f>
        <v/>
      </c>
      <c r="L20" t="str">
        <f>_xlfn.XLOOKUP(_xlfn.XLOOKUP(tblTags[[#This Row],[Tag]],db_drift!$B$2:$B$259,db_drift!$F$2:$F$259),tblFuelAllocations[FuelAllocation],tblFuelAllocations[FuelAllocationID],"")</f>
        <v/>
      </c>
      <c r="M20" t="str">
        <f>_xlfn.XLOOKUP(tblTags[[#This Row],[Tag]],tblHelpCalc1[Tag],tblHelpCalc1[Calc1ID],"")</f>
        <v/>
      </c>
      <c r="N20" t="str">
        <f>_xlfn.XLOOKUP(tblTags[[#This Row],[Tag]],tblHelpCalc2[Tag],tblHelpCalc2[Calc2ID],"")</f>
        <v/>
      </c>
      <c r="O20" s="2" t="str">
        <f>_xlfn.XLOOKUP(_xlfn.XLOOKUP(tblTags[[#This Row],[Tag]],tblDbDrift[Tag],tblDbDrift[Hide Tags]),tblHideTags[HideTag],tblHideTags[ID],"")</f>
        <v/>
      </c>
      <c r="P20" s="2"/>
      <c r="Q20" s="2" t="s">
        <v>355</v>
      </c>
      <c r="R20" s="2"/>
      <c r="S20" s="2"/>
      <c r="X20">
        <v>10</v>
      </c>
      <c r="Y20" t="s">
        <v>11</v>
      </c>
      <c r="AO20">
        <v>10</v>
      </c>
      <c r="AP20" t="s">
        <v>522</v>
      </c>
      <c r="AQ20" t="s">
        <v>193</v>
      </c>
      <c r="AS20">
        <v>10</v>
      </c>
      <c r="AT20" t="s">
        <v>254</v>
      </c>
      <c r="AU20" t="s">
        <v>533</v>
      </c>
      <c r="AW20">
        <v>10</v>
      </c>
      <c r="AX20" t="s">
        <v>148</v>
      </c>
      <c r="AY20" t="s">
        <v>148</v>
      </c>
    </row>
    <row r="21" spans="1:51" x14ac:dyDescent="0.2">
      <c r="A21">
        <v>11</v>
      </c>
      <c r="B21">
        <v>11</v>
      </c>
      <c r="C21" t="s">
        <v>50</v>
      </c>
      <c r="D21" t="s">
        <v>51</v>
      </c>
      <c r="E21" t="s">
        <v>51</v>
      </c>
      <c r="F21" cm="1">
        <f t="array" ref="F21">_xlfn.XLOOKUP(_xlfn.XLOOKUP(tblTags[[#This Row],[Tag]],db_drift!$B$2:$B$259,db_drift!$D$2:$D$259),tblInputTypes[[#All],[InputTypeName]],tblInputTypes[[#All],[InputTypeID]],"")</f>
        <v>1</v>
      </c>
      <c r="G21">
        <v>10</v>
      </c>
      <c r="I21" t="str">
        <f>_xlfn.XLOOKUP(_xlfn.XLOOKUP(tblTags[[#This Row],[Tag]],db_drift!$B$2:$B$259,db_drift!$A$2:$A$259),tblDepartmentHeadings[DepartmentHeading],tblDepartmentHeadings[DepartmentHeadingID],"")</f>
        <v/>
      </c>
      <c r="J21">
        <v>9</v>
      </c>
      <c r="K21" t="str">
        <f>_xlfn.XLOOKUP(_xlfn.XLOOKUP(tblTags[[#This Row],[Tag]],db_drift!$B$2:$B$259,db_drift!$E$2:$E$259),tblFuelTypes[FuelType],tblFuelTypes[FuelTypeID],"")</f>
        <v/>
      </c>
      <c r="L21" t="str">
        <f>_xlfn.XLOOKUP(_xlfn.XLOOKUP(tblTags[[#This Row],[Tag]],db_drift!$B$2:$B$259,db_drift!$F$2:$F$259),tblFuelAllocations[FuelAllocation],tblFuelAllocations[FuelAllocationID],"")</f>
        <v/>
      </c>
      <c r="M21" t="str">
        <f>_xlfn.XLOOKUP(tblTags[[#This Row],[Tag]],tblHelpCalc1[Tag],tblHelpCalc1[Calc1ID],"")</f>
        <v/>
      </c>
      <c r="N21" t="str">
        <f>_xlfn.XLOOKUP(tblTags[[#This Row],[Tag]],tblHelpCalc2[Tag],tblHelpCalc2[Calc2ID],"")</f>
        <v/>
      </c>
      <c r="O21" s="2" t="str">
        <f>_xlfn.XLOOKUP(_xlfn.XLOOKUP(tblTags[[#This Row],[Tag]],tblDbDrift[Tag],tblDbDrift[Hide Tags]),tblHideTags[HideTag],tblHideTags[ID],"")</f>
        <v/>
      </c>
      <c r="P21" s="2"/>
      <c r="Q21" s="2" t="s">
        <v>356</v>
      </c>
      <c r="R21" s="2"/>
      <c r="S21" s="2"/>
      <c r="X21">
        <v>11</v>
      </c>
      <c r="Y21" t="s">
        <v>12</v>
      </c>
      <c r="AO21">
        <v>11</v>
      </c>
      <c r="AP21" t="s">
        <v>523</v>
      </c>
      <c r="AQ21" t="s">
        <v>243</v>
      </c>
      <c r="AS21">
        <v>11</v>
      </c>
      <c r="AT21" t="s">
        <v>256</v>
      </c>
      <c r="AU21" t="s">
        <v>534</v>
      </c>
      <c r="AW21">
        <v>11</v>
      </c>
      <c r="AX21" t="s">
        <v>149</v>
      </c>
      <c r="AY21" t="s">
        <v>512</v>
      </c>
    </row>
    <row r="22" spans="1:51" x14ac:dyDescent="0.2">
      <c r="A22">
        <v>12</v>
      </c>
      <c r="B22">
        <v>12</v>
      </c>
      <c r="C22" t="s">
        <v>52</v>
      </c>
      <c r="D22" t="s">
        <v>53</v>
      </c>
      <c r="E22" t="s">
        <v>53</v>
      </c>
      <c r="F22" cm="1">
        <f t="array" ref="F22">_xlfn.XLOOKUP(_xlfn.XLOOKUP(tblTags[[#This Row],[Tag]],db_drift!$B$2:$B$259,db_drift!$D$2:$D$259),tblInputTypes[[#All],[InputTypeName]],tblInputTypes[[#All],[InputTypeID]],"")</f>
        <v>1</v>
      </c>
      <c r="G22">
        <v>10</v>
      </c>
      <c r="I22" t="str">
        <f>_xlfn.XLOOKUP(_xlfn.XLOOKUP(tblTags[[#This Row],[Tag]],db_drift!$B$2:$B$259,db_drift!$A$2:$A$259),tblDepartmentHeadings[DepartmentHeading],tblDepartmentHeadings[DepartmentHeadingID],"")</f>
        <v/>
      </c>
      <c r="J22">
        <v>9</v>
      </c>
      <c r="K22" t="str">
        <f>_xlfn.XLOOKUP(_xlfn.XLOOKUP(tblTags[[#This Row],[Tag]],db_drift!$B$2:$B$259,db_drift!$E$2:$E$259),tblFuelTypes[FuelType],tblFuelTypes[FuelTypeID],"")</f>
        <v/>
      </c>
      <c r="L22" t="str">
        <f>_xlfn.XLOOKUP(_xlfn.XLOOKUP(tblTags[[#This Row],[Tag]],db_drift!$B$2:$B$259,db_drift!$F$2:$F$259),tblFuelAllocations[FuelAllocation],tblFuelAllocations[FuelAllocationID],"")</f>
        <v/>
      </c>
      <c r="M22" t="str">
        <f>_xlfn.XLOOKUP(tblTags[[#This Row],[Tag]],tblHelpCalc1[Tag],tblHelpCalc1[Calc1ID],"")</f>
        <v/>
      </c>
      <c r="N22" t="str">
        <f>_xlfn.XLOOKUP(tblTags[[#This Row],[Tag]],tblHelpCalc2[Tag],tblHelpCalc2[Calc2ID],"")</f>
        <v/>
      </c>
      <c r="O22" s="2" t="str">
        <f>_xlfn.XLOOKUP(_xlfn.XLOOKUP(tblTags[[#This Row],[Tag]],tblDbDrift[Tag],tblDbDrift[Hide Tags]),tblHideTags[HideTag],tblHideTags[ID],"")</f>
        <v/>
      </c>
      <c r="P22" s="2"/>
      <c r="Q22" s="2" t="s">
        <v>357</v>
      </c>
      <c r="R22" s="2"/>
      <c r="S22" s="2"/>
      <c r="X22">
        <v>12</v>
      </c>
      <c r="Y22" t="s">
        <v>13</v>
      </c>
      <c r="AO22">
        <v>12</v>
      </c>
      <c r="AP22" t="s">
        <v>394</v>
      </c>
      <c r="AQ22" t="s">
        <v>395</v>
      </c>
      <c r="AS22">
        <v>12</v>
      </c>
      <c r="AT22" t="s">
        <v>395</v>
      </c>
      <c r="AU22" t="s">
        <v>535</v>
      </c>
      <c r="AW22">
        <v>12</v>
      </c>
      <c r="AX22" t="s">
        <v>150</v>
      </c>
      <c r="AY22" t="s">
        <v>512</v>
      </c>
    </row>
    <row r="23" spans="1:51" x14ac:dyDescent="0.2">
      <c r="A23">
        <v>13</v>
      </c>
      <c r="B23">
        <v>13</v>
      </c>
      <c r="C23" t="s">
        <v>54</v>
      </c>
      <c r="D23" t="s">
        <v>55</v>
      </c>
      <c r="E23" t="s">
        <v>55</v>
      </c>
      <c r="F23" cm="1">
        <f t="array" ref="F23">_xlfn.XLOOKUP(_xlfn.XLOOKUP(tblTags[[#This Row],[Tag]],db_drift!$B$2:$B$259,db_drift!$D$2:$D$259),tblInputTypes[[#All],[InputTypeName]],tblInputTypes[[#All],[InputTypeID]],"")</f>
        <v>1</v>
      </c>
      <c r="G23">
        <v>10</v>
      </c>
      <c r="I23" t="str">
        <f>_xlfn.XLOOKUP(_xlfn.XLOOKUP(tblTags[[#This Row],[Tag]],db_drift!$B$2:$B$259,db_drift!$A$2:$A$259),tblDepartmentHeadings[DepartmentHeading],tblDepartmentHeadings[DepartmentHeadingID],"")</f>
        <v/>
      </c>
      <c r="J23">
        <v>9</v>
      </c>
      <c r="K23" t="str">
        <f>_xlfn.XLOOKUP(_xlfn.XLOOKUP(tblTags[[#This Row],[Tag]],db_drift!$B$2:$B$259,db_drift!$E$2:$E$259),tblFuelTypes[FuelType],tblFuelTypes[FuelTypeID],"")</f>
        <v/>
      </c>
      <c r="L23" t="str">
        <f>_xlfn.XLOOKUP(_xlfn.XLOOKUP(tblTags[[#This Row],[Tag]],db_drift!$B$2:$B$259,db_drift!$F$2:$F$259),tblFuelAllocations[FuelAllocation],tblFuelAllocations[FuelAllocationID],"")</f>
        <v/>
      </c>
      <c r="M23" t="str">
        <f>_xlfn.XLOOKUP(tblTags[[#This Row],[Tag]],tblHelpCalc1[Tag],tblHelpCalc1[Calc1ID],"")</f>
        <v/>
      </c>
      <c r="N23" t="str">
        <f>_xlfn.XLOOKUP(tblTags[[#This Row],[Tag]],tblHelpCalc2[Tag],tblHelpCalc2[Calc2ID],"")</f>
        <v/>
      </c>
      <c r="O23" s="2" t="str">
        <f>_xlfn.XLOOKUP(_xlfn.XLOOKUP(tblTags[[#This Row],[Tag]],tblDbDrift[Tag],tblDbDrift[Hide Tags]),tblHideTags[HideTag],tblHideTags[ID],"")</f>
        <v/>
      </c>
      <c r="P23" s="2"/>
      <c r="Q23" s="2" t="s">
        <v>358</v>
      </c>
      <c r="R23" s="2"/>
      <c r="S23" s="2"/>
      <c r="U23" t="s">
        <v>371</v>
      </c>
      <c r="V23" t="s">
        <v>369</v>
      </c>
      <c r="X23">
        <v>13</v>
      </c>
      <c r="Y23" t="s">
        <v>406</v>
      </c>
      <c r="AO23">
        <v>13</v>
      </c>
      <c r="AP23" t="s">
        <v>406</v>
      </c>
      <c r="AQ23" t="s">
        <v>407</v>
      </c>
      <c r="AS23">
        <v>13</v>
      </c>
      <c r="AT23" t="s">
        <v>396</v>
      </c>
      <c r="AU23" t="s">
        <v>536</v>
      </c>
      <c r="AW23">
        <v>13</v>
      </c>
      <c r="AX23" t="s">
        <v>151</v>
      </c>
      <c r="AY23" t="s">
        <v>512</v>
      </c>
    </row>
    <row r="24" spans="1:51" x14ac:dyDescent="0.2">
      <c r="A24">
        <v>14</v>
      </c>
      <c r="B24">
        <v>14</v>
      </c>
      <c r="C24" t="s">
        <v>12</v>
      </c>
      <c r="F24" t="str" cm="1">
        <f t="array" ref="F24">_xlfn.XLOOKUP(_xlfn.XLOOKUP(tblTags[[#This Row],[Tag]],db_drift!$B$2:$B$259,db_drift!$D$2:$D$259),tblInputTypes[[#All],[InputTypeName]],tblInputTypes[[#All],[InputTypeID]],"")</f>
        <v/>
      </c>
      <c r="G24">
        <v>11</v>
      </c>
      <c r="I24" t="str">
        <f>_xlfn.XLOOKUP(_xlfn.XLOOKUP(tblTags[[#This Row],[Tag]],db_drift!$B$2:$B$259,db_drift!$A$2:$A$259),tblDepartmentHeadings[DepartmentHeading],tblDepartmentHeadings[DepartmentHeadingID],"")</f>
        <v/>
      </c>
      <c r="K24" t="str">
        <f>_xlfn.XLOOKUP(_xlfn.XLOOKUP(tblTags[[#This Row],[Tag]],db_drift!$B$2:$B$259,db_drift!$E$2:$E$259),tblFuelTypes[FuelType],tblFuelTypes[FuelTypeID],"")</f>
        <v/>
      </c>
      <c r="L24" t="str">
        <f>_xlfn.XLOOKUP(_xlfn.XLOOKUP(tblTags[[#This Row],[Tag]],db_drift!$B$2:$B$259,db_drift!$F$2:$F$259),tblFuelAllocations[FuelAllocation],tblFuelAllocations[FuelAllocationID],"")</f>
        <v/>
      </c>
      <c r="M24" t="str">
        <f>_xlfn.XLOOKUP(tblTags[[#This Row],[Tag]],tblHelpCalc1[Tag],tblHelpCalc1[Calc1ID],"")</f>
        <v/>
      </c>
      <c r="N24" t="str">
        <f>_xlfn.XLOOKUP(tblTags[[#This Row],[Tag]],tblHelpCalc2[Tag],tblHelpCalc2[Calc2ID],"")</f>
        <v/>
      </c>
      <c r="O24" s="2" t="str">
        <f>_xlfn.XLOOKUP(_xlfn.XLOOKUP(tblTags[[#This Row],[Tag]],tblDbDrift[Tag],tblDbDrift[Hide Tags]),tblHideTags[HideTag],tblHideTags[ID],"")</f>
        <v/>
      </c>
      <c r="P24" s="2"/>
      <c r="Q24" s="2" t="s">
        <v>614</v>
      </c>
      <c r="R24" s="2"/>
      <c r="S24" s="2"/>
      <c r="U24">
        <v>1</v>
      </c>
      <c r="V24" t="s">
        <v>373</v>
      </c>
      <c r="X24">
        <v>14</v>
      </c>
      <c r="Y24" t="s">
        <v>844</v>
      </c>
      <c r="AO24">
        <v>14</v>
      </c>
      <c r="AP24" t="s">
        <v>568</v>
      </c>
      <c r="AQ24" t="s">
        <v>258</v>
      </c>
      <c r="AS24">
        <v>14</v>
      </c>
      <c r="AT24" t="s">
        <v>397</v>
      </c>
      <c r="AU24" t="s">
        <v>537</v>
      </c>
      <c r="AW24">
        <v>14</v>
      </c>
      <c r="AX24" t="s">
        <v>152</v>
      </c>
      <c r="AY24" t="s">
        <v>512</v>
      </c>
    </row>
    <row r="25" spans="1:51" x14ac:dyDescent="0.2">
      <c r="A25">
        <v>15</v>
      </c>
      <c r="B25">
        <v>15</v>
      </c>
      <c r="C25" t="s">
        <v>56</v>
      </c>
      <c r="D25" t="s">
        <v>57</v>
      </c>
      <c r="E25" t="s">
        <v>57</v>
      </c>
      <c r="F25" cm="1">
        <f t="array" ref="F25">_xlfn.XLOOKUP(_xlfn.XLOOKUP(tblTags[[#This Row],[Tag]],db_drift!$B$2:$B$259,db_drift!$D$2:$D$259),tblInputTypes[[#All],[InputTypeName]],tblInputTypes[[#All],[InputTypeID]],"")</f>
        <v>2</v>
      </c>
      <c r="G25">
        <v>11</v>
      </c>
      <c r="I25">
        <f>_xlfn.XLOOKUP(_xlfn.XLOOKUP(tblTags[[#This Row],[Tag]],db_drift!$B$2:$B$259,db_drift!$A$2:$A$259),tblDepartmentHeadings[DepartmentHeading],tblDepartmentHeadings[DepartmentHeadingID],"")</f>
        <v>2</v>
      </c>
      <c r="K25" t="str">
        <f>_xlfn.XLOOKUP(_xlfn.XLOOKUP(tblTags[[#This Row],[Tag]],db_drift!$B$2:$B$259,db_drift!$E$2:$E$259),tblFuelTypes[FuelType],tblFuelTypes[FuelTypeID],"")</f>
        <v/>
      </c>
      <c r="L25" t="str">
        <f>_xlfn.XLOOKUP(_xlfn.XLOOKUP(tblTags[[#This Row],[Tag]],db_drift!$B$2:$B$259,db_drift!$F$2:$F$259),tblFuelAllocations[FuelAllocation],tblFuelAllocations[FuelAllocationID],"")</f>
        <v/>
      </c>
      <c r="M25" t="str">
        <f>_xlfn.XLOOKUP(tblTags[[#This Row],[Tag]],tblHelpCalc1[Tag],tblHelpCalc1[Calc1ID],"")</f>
        <v/>
      </c>
      <c r="N25" t="str">
        <f>_xlfn.XLOOKUP(tblTags[[#This Row],[Tag]],tblHelpCalc2[Tag],tblHelpCalc2[Calc2ID],"")</f>
        <v/>
      </c>
      <c r="O25" s="2" t="str">
        <f>_xlfn.XLOOKUP(_xlfn.XLOOKUP(tblTags[[#This Row],[Tag]],tblDbDrift[Tag],tblDbDrift[Hide Tags]),tblHideTags[HideTag],tblHideTags[ID],"")</f>
        <v/>
      </c>
      <c r="P25" s="2"/>
      <c r="Q25" s="2" t="s">
        <v>615</v>
      </c>
      <c r="R25" s="2"/>
      <c r="S25" s="2"/>
      <c r="U25">
        <v>2</v>
      </c>
      <c r="V25" t="s">
        <v>372</v>
      </c>
      <c r="AO25">
        <v>15</v>
      </c>
      <c r="AP25" t="s">
        <v>575</v>
      </c>
      <c r="AQ25" t="s">
        <v>437</v>
      </c>
      <c r="AS25">
        <v>15</v>
      </c>
      <c r="AT25" t="s">
        <v>398</v>
      </c>
      <c r="AU25" t="s">
        <v>538</v>
      </c>
      <c r="AW25">
        <v>15</v>
      </c>
      <c r="AX25" t="s">
        <v>153</v>
      </c>
      <c r="AY25" t="s">
        <v>512</v>
      </c>
    </row>
    <row r="26" spans="1:51" x14ac:dyDescent="0.2">
      <c r="A26">
        <v>16</v>
      </c>
      <c r="B26">
        <v>16</v>
      </c>
      <c r="C26" t="s">
        <v>58</v>
      </c>
      <c r="D26" t="s">
        <v>377</v>
      </c>
      <c r="E26" t="s">
        <v>377</v>
      </c>
      <c r="F26" cm="1">
        <f t="array" ref="F26">_xlfn.XLOOKUP(_xlfn.XLOOKUP(tblTags[[#This Row],[Tag]],db_drift!$B$2:$B$259,db_drift!$D$2:$D$259),tblInputTypes[[#All],[InputTypeName]],tblInputTypes[[#All],[InputTypeID]],"")</f>
        <v>2</v>
      </c>
      <c r="G26">
        <v>11</v>
      </c>
      <c r="I26" t="str">
        <f>_xlfn.XLOOKUP(_xlfn.XLOOKUP(tblTags[[#This Row],[Tag]],db_drift!$B$2:$B$259,db_drift!$A$2:$A$259),tblDepartmentHeadings[DepartmentHeading],tblDepartmentHeadings[DepartmentHeadingID],"")</f>
        <v/>
      </c>
      <c r="J26">
        <v>9</v>
      </c>
      <c r="K26" t="str">
        <f>_xlfn.XLOOKUP(_xlfn.XLOOKUP(tblTags[[#This Row],[Tag]],db_drift!$B$2:$B$259,db_drift!$E$2:$E$259),tblFuelTypes[FuelType],tblFuelTypes[FuelTypeID],"")</f>
        <v/>
      </c>
      <c r="L26" t="str">
        <f>_xlfn.XLOOKUP(_xlfn.XLOOKUP(tblTags[[#This Row],[Tag]],db_drift!$B$2:$B$259,db_drift!$F$2:$F$259),tblFuelAllocations[FuelAllocation],tblFuelAllocations[FuelAllocationID],"")</f>
        <v/>
      </c>
      <c r="M26" t="str">
        <f>_xlfn.XLOOKUP(tblTags[[#This Row],[Tag]],tblHelpCalc1[Tag],tblHelpCalc1[Calc1ID],"")</f>
        <v/>
      </c>
      <c r="N26" t="str">
        <f>_xlfn.XLOOKUP(tblTags[[#This Row],[Tag]],tblHelpCalc2[Tag],tblHelpCalc2[Calc2ID],"")</f>
        <v/>
      </c>
      <c r="O26" s="2" t="str">
        <f>_xlfn.XLOOKUP(_xlfn.XLOOKUP(tblTags[[#This Row],[Tag]],tblDbDrift[Tag],tblDbDrift[Hide Tags]),tblHideTags[HideTag],tblHideTags[ID],"")</f>
        <v/>
      </c>
      <c r="P26" s="2"/>
      <c r="Q26" s="2" t="s">
        <v>616</v>
      </c>
      <c r="R26" s="2"/>
      <c r="S26" s="2"/>
      <c r="AO26">
        <v>16</v>
      </c>
      <c r="AP26" t="s">
        <v>580</v>
      </c>
      <c r="AQ26" t="s">
        <v>277</v>
      </c>
      <c r="AS26">
        <v>16</v>
      </c>
      <c r="AT26" t="s">
        <v>399</v>
      </c>
      <c r="AU26" t="s">
        <v>539</v>
      </c>
      <c r="AW26">
        <v>16</v>
      </c>
      <c r="AX26" t="s">
        <v>154</v>
      </c>
      <c r="AY26" t="s">
        <v>512</v>
      </c>
    </row>
    <row r="27" spans="1:51" x14ac:dyDescent="0.2">
      <c r="A27">
        <v>17</v>
      </c>
      <c r="B27">
        <v>17</v>
      </c>
      <c r="C27" t="s">
        <v>59</v>
      </c>
      <c r="D27" t="s">
        <v>378</v>
      </c>
      <c r="E27" t="s">
        <v>378</v>
      </c>
      <c r="F27" cm="1">
        <f t="array" ref="F27">_xlfn.XLOOKUP(_xlfn.XLOOKUP(tblTags[[#This Row],[Tag]],db_drift!$B$2:$B$259,db_drift!$D$2:$D$259),tblInputTypes[[#All],[InputTypeName]],tblInputTypes[[#All],[InputTypeID]],"")</f>
        <v>2</v>
      </c>
      <c r="G27">
        <v>11</v>
      </c>
      <c r="I27" t="str">
        <f>_xlfn.XLOOKUP(_xlfn.XLOOKUP(tblTags[[#This Row],[Tag]],db_drift!$B$2:$B$259,db_drift!$A$2:$A$259),tblDepartmentHeadings[DepartmentHeading],tblDepartmentHeadings[DepartmentHeadingID],"")</f>
        <v/>
      </c>
      <c r="J27">
        <v>9</v>
      </c>
      <c r="K27" t="str">
        <f>_xlfn.XLOOKUP(_xlfn.XLOOKUP(tblTags[[#This Row],[Tag]],db_drift!$B$2:$B$259,db_drift!$E$2:$E$259),tblFuelTypes[FuelType],tblFuelTypes[FuelTypeID],"")</f>
        <v/>
      </c>
      <c r="L27" t="str">
        <f>_xlfn.XLOOKUP(_xlfn.XLOOKUP(tblTags[[#This Row],[Tag]],db_drift!$B$2:$B$259,db_drift!$F$2:$F$259),tblFuelAllocations[FuelAllocation],tblFuelAllocations[FuelAllocationID],"")</f>
        <v/>
      </c>
      <c r="M27" t="str">
        <f>_xlfn.XLOOKUP(tblTags[[#This Row],[Tag]],tblHelpCalc1[Tag],tblHelpCalc1[Calc1ID],"")</f>
        <v/>
      </c>
      <c r="N27" t="str">
        <f>_xlfn.XLOOKUP(tblTags[[#This Row],[Tag]],tblHelpCalc2[Tag],tblHelpCalc2[Calc2ID],"")</f>
        <v/>
      </c>
      <c r="O27" s="2" t="str">
        <f>_xlfn.XLOOKUP(_xlfn.XLOOKUP(tblTags[[#This Row],[Tag]],tblDbDrift[Tag],tblDbDrift[Hide Tags]),tblHideTags[HideTag],tblHideTags[ID],"")</f>
        <v/>
      </c>
      <c r="P27" s="2"/>
      <c r="Q27" s="2" t="s">
        <v>617</v>
      </c>
      <c r="R27" s="2"/>
      <c r="S27" s="2"/>
      <c r="AO27">
        <v>17</v>
      </c>
      <c r="AP27" t="s">
        <v>582</v>
      </c>
      <c r="AQ27" t="s">
        <v>290</v>
      </c>
      <c r="AS27">
        <v>17</v>
      </c>
      <c r="AT27" t="s">
        <v>400</v>
      </c>
      <c r="AU27" t="s">
        <v>540</v>
      </c>
      <c r="AW27">
        <v>17</v>
      </c>
      <c r="AX27" t="s">
        <v>155</v>
      </c>
      <c r="AY27" t="s">
        <v>512</v>
      </c>
    </row>
    <row r="28" spans="1:51" x14ac:dyDescent="0.2">
      <c r="A28">
        <v>18</v>
      </c>
      <c r="B28">
        <v>18</v>
      </c>
      <c r="C28" t="s">
        <v>60</v>
      </c>
      <c r="D28" t="s">
        <v>379</v>
      </c>
      <c r="E28" t="s">
        <v>379</v>
      </c>
      <c r="F28" cm="1">
        <f t="array" ref="F28">_xlfn.XLOOKUP(_xlfn.XLOOKUP(tblTags[[#This Row],[Tag]],db_drift!$B$2:$B$259,db_drift!$D$2:$D$259),tblInputTypes[[#All],[InputTypeName]],tblInputTypes[[#All],[InputTypeID]],"")</f>
        <v>2</v>
      </c>
      <c r="G28">
        <v>11</v>
      </c>
      <c r="I28" t="str">
        <f>_xlfn.XLOOKUP(_xlfn.XLOOKUP(tblTags[[#This Row],[Tag]],db_drift!$B$2:$B$259,db_drift!$A$2:$A$259),tblDepartmentHeadings[DepartmentHeading],tblDepartmentHeadings[DepartmentHeadingID],"")</f>
        <v/>
      </c>
      <c r="J28">
        <v>9</v>
      </c>
      <c r="K28" t="str">
        <f>_xlfn.XLOOKUP(_xlfn.XLOOKUP(tblTags[[#This Row],[Tag]],db_drift!$B$2:$B$259,db_drift!$E$2:$E$259),tblFuelTypes[FuelType],tblFuelTypes[FuelTypeID],"")</f>
        <v/>
      </c>
      <c r="L28" t="str">
        <f>_xlfn.XLOOKUP(_xlfn.XLOOKUP(tblTags[[#This Row],[Tag]],db_drift!$B$2:$B$259,db_drift!$F$2:$F$259),tblFuelAllocations[FuelAllocation],tblFuelAllocations[FuelAllocationID],"")</f>
        <v/>
      </c>
      <c r="M28" t="str">
        <f>_xlfn.XLOOKUP(tblTags[[#This Row],[Tag]],tblHelpCalc1[Tag],tblHelpCalc1[Calc1ID],"")</f>
        <v/>
      </c>
      <c r="N28" t="str">
        <f>_xlfn.XLOOKUP(tblTags[[#This Row],[Tag]],tblHelpCalc2[Tag],tblHelpCalc2[Calc2ID],"")</f>
        <v/>
      </c>
      <c r="O28" s="2" t="str">
        <f>_xlfn.XLOOKUP(_xlfn.XLOOKUP(tblTags[[#This Row],[Tag]],tblDbDrift[Tag],tblDbDrift[Hide Tags]),tblHideTags[HideTag],tblHideTags[ID],"")</f>
        <v/>
      </c>
      <c r="P28" s="2"/>
      <c r="Q28" s="2" t="s">
        <v>618</v>
      </c>
      <c r="R28" s="2"/>
      <c r="S28" s="2"/>
      <c r="U28" t="s">
        <v>593</v>
      </c>
      <c r="V28" t="s">
        <v>370</v>
      </c>
      <c r="AO28">
        <v>18</v>
      </c>
      <c r="AP28" t="s">
        <v>584</v>
      </c>
      <c r="AQ28" t="s">
        <v>303</v>
      </c>
      <c r="AS28">
        <v>18</v>
      </c>
      <c r="AT28" t="s">
        <v>401</v>
      </c>
      <c r="AU28" t="s">
        <v>541</v>
      </c>
      <c r="AW28">
        <v>18</v>
      </c>
      <c r="AX28" t="s">
        <v>156</v>
      </c>
      <c r="AY28" t="s">
        <v>512</v>
      </c>
    </row>
    <row r="29" spans="1:51" x14ac:dyDescent="0.2">
      <c r="A29">
        <v>19</v>
      </c>
      <c r="B29">
        <v>19</v>
      </c>
      <c r="C29" t="s">
        <v>61</v>
      </c>
      <c r="D29" t="s">
        <v>380</v>
      </c>
      <c r="E29" t="s">
        <v>380</v>
      </c>
      <c r="F29" cm="1">
        <f t="array" ref="F29">_xlfn.XLOOKUP(_xlfn.XLOOKUP(tblTags[[#This Row],[Tag]],db_drift!$B$2:$B$259,db_drift!$D$2:$D$259),tblInputTypes[[#All],[InputTypeName]],tblInputTypes[[#All],[InputTypeID]],"")</f>
        <v>2</v>
      </c>
      <c r="G29">
        <v>11</v>
      </c>
      <c r="I29" t="str">
        <f>_xlfn.XLOOKUP(_xlfn.XLOOKUP(tblTags[[#This Row],[Tag]],db_drift!$B$2:$B$259,db_drift!$A$2:$A$259),tblDepartmentHeadings[DepartmentHeading],tblDepartmentHeadings[DepartmentHeadingID],"")</f>
        <v/>
      </c>
      <c r="J29">
        <v>9</v>
      </c>
      <c r="K29" t="str">
        <f>_xlfn.XLOOKUP(_xlfn.XLOOKUP(tblTags[[#This Row],[Tag]],db_drift!$B$2:$B$259,db_drift!$E$2:$E$259),tblFuelTypes[FuelType],tblFuelTypes[FuelTypeID],"")</f>
        <v/>
      </c>
      <c r="L29" t="str">
        <f>_xlfn.XLOOKUP(_xlfn.XLOOKUP(tblTags[[#This Row],[Tag]],db_drift!$B$2:$B$259,db_drift!$F$2:$F$259),tblFuelAllocations[FuelAllocation],tblFuelAllocations[FuelAllocationID],"")</f>
        <v/>
      </c>
      <c r="M29" t="str">
        <f>_xlfn.XLOOKUP(tblTags[[#This Row],[Tag]],tblHelpCalc1[Tag],tblHelpCalc1[Calc1ID],"")</f>
        <v/>
      </c>
      <c r="N29" t="str">
        <f>_xlfn.XLOOKUP(tblTags[[#This Row],[Tag]],tblHelpCalc2[Tag],tblHelpCalc2[Calc2ID],"")</f>
        <v/>
      </c>
      <c r="O29" s="2" t="str">
        <f>_xlfn.XLOOKUP(_xlfn.XLOOKUP(tblTags[[#This Row],[Tag]],tblDbDrift[Tag],tblDbDrift[Hide Tags]),tblHideTags[HideTag],tblHideTags[ID],"")</f>
        <v/>
      </c>
      <c r="P29" s="2"/>
      <c r="Q29" s="2" t="s">
        <v>619</v>
      </c>
      <c r="R29" s="2"/>
      <c r="S29" s="2"/>
      <c r="U29">
        <v>1</v>
      </c>
      <c r="V29" t="s">
        <v>375</v>
      </c>
      <c r="AO29">
        <v>19</v>
      </c>
      <c r="AP29" t="s">
        <v>586</v>
      </c>
      <c r="AQ29" t="s">
        <v>315</v>
      </c>
      <c r="AS29">
        <v>19</v>
      </c>
      <c r="AT29" t="s">
        <v>402</v>
      </c>
      <c r="AU29" t="s">
        <v>542</v>
      </c>
      <c r="AW29">
        <v>19</v>
      </c>
      <c r="AX29" t="s">
        <v>158</v>
      </c>
      <c r="AY29" t="s">
        <v>513</v>
      </c>
    </row>
    <row r="30" spans="1:51" x14ac:dyDescent="0.2">
      <c r="A30">
        <v>20</v>
      </c>
      <c r="B30">
        <v>20</v>
      </c>
      <c r="C30" t="s">
        <v>62</v>
      </c>
      <c r="D30" t="s">
        <v>381</v>
      </c>
      <c r="E30" t="s">
        <v>381</v>
      </c>
      <c r="F30" cm="1">
        <f t="array" ref="F30">_xlfn.XLOOKUP(_xlfn.XLOOKUP(tblTags[[#This Row],[Tag]],db_drift!$B$2:$B$259,db_drift!$D$2:$D$259),tblInputTypes[[#All],[InputTypeName]],tblInputTypes[[#All],[InputTypeID]],"")</f>
        <v>2</v>
      </c>
      <c r="G30">
        <v>11</v>
      </c>
      <c r="I30" t="str">
        <f>_xlfn.XLOOKUP(_xlfn.XLOOKUP(tblTags[[#This Row],[Tag]],db_drift!$B$2:$B$259,db_drift!$A$2:$A$259),tblDepartmentHeadings[DepartmentHeading],tblDepartmentHeadings[DepartmentHeadingID],"")</f>
        <v/>
      </c>
      <c r="J30">
        <v>9</v>
      </c>
      <c r="K30" t="str">
        <f>_xlfn.XLOOKUP(_xlfn.XLOOKUP(tblTags[[#This Row],[Tag]],db_drift!$B$2:$B$259,db_drift!$E$2:$E$259),tblFuelTypes[FuelType],tblFuelTypes[FuelTypeID],"")</f>
        <v/>
      </c>
      <c r="L30" t="str">
        <f>_xlfn.XLOOKUP(_xlfn.XLOOKUP(tblTags[[#This Row],[Tag]],db_drift!$B$2:$B$259,db_drift!$F$2:$F$259),tblFuelAllocations[FuelAllocation],tblFuelAllocations[FuelAllocationID],"")</f>
        <v/>
      </c>
      <c r="M30" t="str">
        <f>_xlfn.XLOOKUP(tblTags[[#This Row],[Tag]],tblHelpCalc1[Tag],tblHelpCalc1[Calc1ID],"")</f>
        <v/>
      </c>
      <c r="N30" t="str">
        <f>_xlfn.XLOOKUP(tblTags[[#This Row],[Tag]],tblHelpCalc2[Tag],tblHelpCalc2[Calc2ID],"")</f>
        <v/>
      </c>
      <c r="O30" s="2" t="str">
        <f>_xlfn.XLOOKUP(_xlfn.XLOOKUP(tblTags[[#This Row],[Tag]],tblDbDrift[Tag],tblDbDrift[Hide Tags]),tblHideTags[HideTag],tblHideTags[ID],"")</f>
        <v/>
      </c>
      <c r="P30" s="2"/>
      <c r="Q30" s="2" t="s">
        <v>620</v>
      </c>
      <c r="R30" s="2"/>
      <c r="S30" s="2"/>
      <c r="U30">
        <v>2</v>
      </c>
      <c r="V30" t="s">
        <v>376</v>
      </c>
      <c r="AO30">
        <v>20</v>
      </c>
      <c r="AP30" t="s">
        <v>587</v>
      </c>
      <c r="AQ30" t="s">
        <v>320</v>
      </c>
      <c r="AS30">
        <v>20</v>
      </c>
      <c r="AT30" t="s">
        <v>403</v>
      </c>
      <c r="AU30" t="s">
        <v>543</v>
      </c>
      <c r="AW30">
        <v>20</v>
      </c>
      <c r="AX30" t="s">
        <v>160</v>
      </c>
      <c r="AY30" t="s">
        <v>515</v>
      </c>
    </row>
    <row r="31" spans="1:51" x14ac:dyDescent="0.2">
      <c r="A31">
        <v>21</v>
      </c>
      <c r="B31">
        <v>21</v>
      </c>
      <c r="C31" t="s">
        <v>63</v>
      </c>
      <c r="D31" t="s">
        <v>64</v>
      </c>
      <c r="E31" t="s">
        <v>64</v>
      </c>
      <c r="F31" cm="1">
        <f t="array" ref="F31">_xlfn.XLOOKUP(_xlfn.XLOOKUP(tblTags[[#This Row],[Tag]],db_drift!$B$2:$B$259,db_drift!$D$2:$D$259),tblInputTypes[[#All],[InputTypeName]],tblInputTypes[[#All],[InputTypeID]],"")</f>
        <v>2</v>
      </c>
      <c r="G31">
        <v>11</v>
      </c>
      <c r="I31" t="str">
        <f>_xlfn.XLOOKUP(_xlfn.XLOOKUP(tblTags[[#This Row],[Tag]],db_drift!$B$2:$B$259,db_drift!$A$2:$A$259),tblDepartmentHeadings[DepartmentHeading],tblDepartmentHeadings[DepartmentHeadingID],"")</f>
        <v/>
      </c>
      <c r="J31">
        <v>5</v>
      </c>
      <c r="K31" t="str">
        <f>_xlfn.XLOOKUP(_xlfn.XLOOKUP(tblTags[[#This Row],[Tag]],db_drift!$B$2:$B$259,db_drift!$E$2:$E$259),tblFuelTypes[FuelType],tblFuelTypes[FuelTypeID],"")</f>
        <v/>
      </c>
      <c r="L31" t="str">
        <f>_xlfn.XLOOKUP(_xlfn.XLOOKUP(tblTags[[#This Row],[Tag]],db_drift!$B$2:$B$259,db_drift!$F$2:$F$259),tblFuelAllocations[FuelAllocation],tblFuelAllocations[FuelAllocationID],"")</f>
        <v/>
      </c>
      <c r="M31" t="str">
        <f>_xlfn.XLOOKUP(tblTags[[#This Row],[Tag]],tblHelpCalc1[Tag],tblHelpCalc1[Calc1ID],"")</f>
        <v/>
      </c>
      <c r="N31" t="str">
        <f>_xlfn.XLOOKUP(tblTags[[#This Row],[Tag]],tblHelpCalc2[Tag],tblHelpCalc2[Calc2ID],"")</f>
        <v/>
      </c>
      <c r="O31" s="2" t="str">
        <f>_xlfn.XLOOKUP(_xlfn.XLOOKUP(tblTags[[#This Row],[Tag]],tblDbDrift[Tag],tblDbDrift[Hide Tags]),tblHideTags[HideTag],tblHideTags[ID],"")</f>
        <v/>
      </c>
      <c r="P31" s="2"/>
      <c r="Q31" s="2" t="s">
        <v>621</v>
      </c>
      <c r="R31" s="2"/>
      <c r="S31" s="2"/>
      <c r="AS31">
        <v>21</v>
      </c>
      <c r="AT31" t="s">
        <v>404</v>
      </c>
      <c r="AU31" t="s">
        <v>544</v>
      </c>
      <c r="AW31">
        <v>21</v>
      </c>
      <c r="AX31" t="s">
        <v>164</v>
      </c>
      <c r="AY31" t="s">
        <v>164</v>
      </c>
    </row>
    <row r="32" spans="1:51" x14ac:dyDescent="0.2">
      <c r="A32">
        <v>22</v>
      </c>
      <c r="B32">
        <v>22</v>
      </c>
      <c r="C32" t="s">
        <v>65</v>
      </c>
      <c r="D32" t="s">
        <v>66</v>
      </c>
      <c r="E32" t="s">
        <v>66</v>
      </c>
      <c r="F32" cm="1">
        <f t="array" ref="F32">_xlfn.XLOOKUP(_xlfn.XLOOKUP(tblTags[[#This Row],[Tag]],db_drift!$B$2:$B$259,db_drift!$D$2:$D$259),tblInputTypes[[#All],[InputTypeName]],tblInputTypes[[#All],[InputTypeID]],"")</f>
        <v>2</v>
      </c>
      <c r="G32">
        <v>11</v>
      </c>
      <c r="I32" t="str">
        <f>_xlfn.XLOOKUP(_xlfn.XLOOKUP(tblTags[[#This Row],[Tag]],db_drift!$B$2:$B$259,db_drift!$A$2:$A$259),tblDepartmentHeadings[DepartmentHeading],tblDepartmentHeadings[DepartmentHeadingID],"")</f>
        <v/>
      </c>
      <c r="J32">
        <v>1</v>
      </c>
      <c r="K32" t="str">
        <f>_xlfn.XLOOKUP(_xlfn.XLOOKUP(tblTags[[#This Row],[Tag]],db_drift!$B$2:$B$259,db_drift!$E$2:$E$259),tblFuelTypes[FuelType],tblFuelTypes[FuelTypeID],"")</f>
        <v/>
      </c>
      <c r="L32" t="str">
        <f>_xlfn.XLOOKUP(_xlfn.XLOOKUP(tblTags[[#This Row],[Tag]],db_drift!$B$2:$B$259,db_drift!$F$2:$F$259),tblFuelAllocations[FuelAllocation],tblFuelAllocations[FuelAllocationID],"")</f>
        <v/>
      </c>
      <c r="M32" t="str">
        <f>_xlfn.XLOOKUP(tblTags[[#This Row],[Tag]],tblHelpCalc1[Tag],tblHelpCalc1[Calc1ID],"")</f>
        <v/>
      </c>
      <c r="N32" t="str">
        <f>_xlfn.XLOOKUP(tblTags[[#This Row],[Tag]],tblHelpCalc2[Tag],tblHelpCalc2[Calc2ID],"")</f>
        <v/>
      </c>
      <c r="O32" s="2" t="str">
        <f>_xlfn.XLOOKUP(_xlfn.XLOOKUP(tblTags[[#This Row],[Tag]],tblDbDrift[Tag],tblDbDrift[Hide Tags]),tblHideTags[HideTag],tblHideTags[ID],"")</f>
        <v/>
      </c>
      <c r="P32" s="2"/>
      <c r="Q32" s="2" t="s">
        <v>622</v>
      </c>
      <c r="R32" s="2"/>
      <c r="S32" s="2"/>
      <c r="AS32">
        <v>22</v>
      </c>
      <c r="AT32" t="s">
        <v>405</v>
      </c>
      <c r="AU32" t="s">
        <v>545</v>
      </c>
      <c r="AW32">
        <v>22</v>
      </c>
      <c r="AX32" t="s">
        <v>165</v>
      </c>
      <c r="AY32" t="s">
        <v>518</v>
      </c>
    </row>
    <row r="33" spans="1:51" x14ac:dyDescent="0.2">
      <c r="A33">
        <v>23</v>
      </c>
      <c r="B33">
        <v>23</v>
      </c>
      <c r="C33" t="s">
        <v>67</v>
      </c>
      <c r="D33" t="s">
        <v>68</v>
      </c>
      <c r="E33" t="s">
        <v>68</v>
      </c>
      <c r="F33" cm="1">
        <f t="array" ref="F33">_xlfn.XLOOKUP(_xlfn.XLOOKUP(tblTags[[#This Row],[Tag]],db_drift!$B$2:$B$259,db_drift!$D$2:$D$259),tblInputTypes[[#All],[InputTypeName]],tblInputTypes[[#All],[InputTypeID]],"")</f>
        <v>3</v>
      </c>
      <c r="G33">
        <v>11</v>
      </c>
      <c r="I33" t="str">
        <f>_xlfn.XLOOKUP(_xlfn.XLOOKUP(tblTags[[#This Row],[Tag]],db_drift!$B$2:$B$259,db_drift!$A$2:$A$259),tblDepartmentHeadings[DepartmentHeading],tblDepartmentHeadings[DepartmentHeadingID],"")</f>
        <v/>
      </c>
      <c r="J33">
        <v>9</v>
      </c>
      <c r="K33" t="str">
        <f>_xlfn.XLOOKUP(_xlfn.XLOOKUP(tblTags[[#This Row],[Tag]],db_drift!$B$2:$B$259,db_drift!$E$2:$E$259),tblFuelTypes[FuelType],tblFuelTypes[FuelTypeID],"")</f>
        <v/>
      </c>
      <c r="L33" t="str">
        <f>_xlfn.XLOOKUP(_xlfn.XLOOKUP(tblTags[[#This Row],[Tag]],db_drift!$B$2:$B$259,db_drift!$F$2:$F$259),tblFuelAllocations[FuelAllocation],tblFuelAllocations[FuelAllocationID],"")</f>
        <v/>
      </c>
      <c r="M33" t="str">
        <f>_xlfn.XLOOKUP(tblTags[[#This Row],[Tag]],tblHelpCalc1[Tag],tblHelpCalc1[Calc1ID],"")</f>
        <v/>
      </c>
      <c r="N33" t="str">
        <f>_xlfn.XLOOKUP(tblTags[[#This Row],[Tag]],tblHelpCalc2[Tag],tblHelpCalc2[Calc2ID],"")</f>
        <v/>
      </c>
      <c r="O33" s="2">
        <f>_xlfn.XLOOKUP(_xlfn.XLOOKUP(tblTags[[#This Row],[Tag]],tblDbDrift[Tag],tblDbDrift[Hide Tags]),tblHideTags[HideTag],tblHideTags[ID],"")</f>
        <v>1</v>
      </c>
      <c r="P33" s="2"/>
      <c r="Q33" s="2" t="s">
        <v>623</v>
      </c>
      <c r="R33" s="2"/>
      <c r="S33" s="2"/>
      <c r="AS33">
        <v>23</v>
      </c>
      <c r="AT33" t="s">
        <v>407</v>
      </c>
      <c r="AU33" t="s">
        <v>546</v>
      </c>
      <c r="AW33">
        <v>23</v>
      </c>
      <c r="AX33" t="s">
        <v>166</v>
      </c>
      <c r="AY33" t="s">
        <v>518</v>
      </c>
    </row>
    <row r="34" spans="1:51" x14ac:dyDescent="0.2">
      <c r="A34">
        <v>24</v>
      </c>
      <c r="B34">
        <v>24</v>
      </c>
      <c r="C34" t="s">
        <v>69</v>
      </c>
      <c r="D34" t="s">
        <v>70</v>
      </c>
      <c r="E34" t="s">
        <v>70</v>
      </c>
      <c r="F34" cm="1">
        <f t="array" ref="F34">_xlfn.XLOOKUP(_xlfn.XLOOKUP(tblTags[[#This Row],[Tag]],db_drift!$B$2:$B$259,db_drift!$D$2:$D$259),tblInputTypes[[#All],[InputTypeName]],tblInputTypes[[#All],[InputTypeID]],"")</f>
        <v>3</v>
      </c>
      <c r="G34">
        <v>11</v>
      </c>
      <c r="I34" t="str">
        <f>_xlfn.XLOOKUP(_xlfn.XLOOKUP(tblTags[[#This Row],[Tag]],db_drift!$B$2:$B$259,db_drift!$A$2:$A$259),tblDepartmentHeadings[DepartmentHeading],tblDepartmentHeadings[DepartmentHeadingID],"")</f>
        <v/>
      </c>
      <c r="J34">
        <v>9</v>
      </c>
      <c r="K34" t="str">
        <f>_xlfn.XLOOKUP(_xlfn.XLOOKUP(tblTags[[#This Row],[Tag]],db_drift!$B$2:$B$259,db_drift!$E$2:$E$259),tblFuelTypes[FuelType],tblFuelTypes[FuelTypeID],"")</f>
        <v/>
      </c>
      <c r="L34" t="str">
        <f>_xlfn.XLOOKUP(_xlfn.XLOOKUP(tblTags[[#This Row],[Tag]],db_drift!$B$2:$B$259,db_drift!$F$2:$F$259),tblFuelAllocations[FuelAllocation],tblFuelAllocations[FuelAllocationID],"")</f>
        <v/>
      </c>
      <c r="M34" t="str">
        <f>_xlfn.XLOOKUP(tblTags[[#This Row],[Tag]],tblHelpCalc1[Tag],tblHelpCalc1[Calc1ID],"")</f>
        <v/>
      </c>
      <c r="N34" t="str">
        <f>_xlfn.XLOOKUP(tblTags[[#This Row],[Tag]],tblHelpCalc2[Tag],tblHelpCalc2[Calc2ID],"")</f>
        <v/>
      </c>
      <c r="O34" s="2">
        <f>_xlfn.XLOOKUP(_xlfn.XLOOKUP(tblTags[[#This Row],[Tag]],tblDbDrift[Tag],tblDbDrift[Hide Tags]),tblHideTags[HideTag],tblHideTags[ID],"")</f>
        <v>1</v>
      </c>
      <c r="P34" s="2"/>
      <c r="Q34" s="2" t="s">
        <v>623</v>
      </c>
      <c r="R34" s="2"/>
      <c r="S34" s="2"/>
      <c r="AS34">
        <v>24</v>
      </c>
      <c r="AT34" t="s">
        <v>408</v>
      </c>
      <c r="AU34" t="s">
        <v>548</v>
      </c>
      <c r="AW34">
        <v>24</v>
      </c>
      <c r="AX34" t="s">
        <v>167</v>
      </c>
      <c r="AY34" t="s">
        <v>518</v>
      </c>
    </row>
    <row r="35" spans="1:51" x14ac:dyDescent="0.2">
      <c r="A35">
        <v>25</v>
      </c>
      <c r="B35">
        <v>25</v>
      </c>
      <c r="C35" t="s">
        <v>71</v>
      </c>
      <c r="D35" t="s">
        <v>382</v>
      </c>
      <c r="E35" t="s">
        <v>382</v>
      </c>
      <c r="F35" cm="1">
        <f t="array" ref="F35">_xlfn.XLOOKUP(_xlfn.XLOOKUP(tblTags[[#This Row],[Tag]],db_drift!$B$2:$B$259,db_drift!$D$2:$D$259),tblInputTypes[[#All],[InputTypeName]],tblInputTypes[[#All],[InputTypeID]],"")</f>
        <v>3</v>
      </c>
      <c r="G35">
        <v>11</v>
      </c>
      <c r="I35" t="str">
        <f>_xlfn.XLOOKUP(_xlfn.XLOOKUP(tblTags[[#This Row],[Tag]],db_drift!$B$2:$B$259,db_drift!$A$2:$A$259),tblDepartmentHeadings[DepartmentHeading],tblDepartmentHeadings[DepartmentHeadingID],"")</f>
        <v/>
      </c>
      <c r="J35">
        <v>9</v>
      </c>
      <c r="K35" t="str">
        <f>_xlfn.XLOOKUP(_xlfn.XLOOKUP(tblTags[[#This Row],[Tag]],db_drift!$B$2:$B$259,db_drift!$E$2:$E$259),tblFuelTypes[FuelType],tblFuelTypes[FuelTypeID],"")</f>
        <v/>
      </c>
      <c r="L35" t="str">
        <f>_xlfn.XLOOKUP(_xlfn.XLOOKUP(tblTags[[#This Row],[Tag]],db_drift!$B$2:$B$259,db_drift!$F$2:$F$259),tblFuelAllocations[FuelAllocation],tblFuelAllocations[FuelAllocationID],"")</f>
        <v/>
      </c>
      <c r="M35" t="str">
        <f>_xlfn.XLOOKUP(tblTags[[#This Row],[Tag]],tblHelpCalc1[Tag],tblHelpCalc1[Calc1ID],"")</f>
        <v/>
      </c>
      <c r="N35" t="str">
        <f>_xlfn.XLOOKUP(tblTags[[#This Row],[Tag]],tblHelpCalc2[Tag],tblHelpCalc2[Calc2ID],"")</f>
        <v/>
      </c>
      <c r="O35" s="2">
        <f>_xlfn.XLOOKUP(_xlfn.XLOOKUP(tblTags[[#This Row],[Tag]],tblDbDrift[Tag],tblDbDrift[Hide Tags]),tblHideTags[HideTag],tblHideTags[ID],"")</f>
        <v>1</v>
      </c>
      <c r="P35" s="2"/>
      <c r="Q35" s="2" t="s">
        <v>623</v>
      </c>
      <c r="R35" s="2"/>
      <c r="S35" s="2"/>
      <c r="AS35">
        <v>25</v>
      </c>
      <c r="AT35" t="s">
        <v>409</v>
      </c>
      <c r="AU35" t="s">
        <v>550</v>
      </c>
      <c r="AW35">
        <v>25</v>
      </c>
      <c r="AX35" t="s">
        <v>168</v>
      </c>
      <c r="AY35" t="s">
        <v>518</v>
      </c>
    </row>
    <row r="36" spans="1:51" x14ac:dyDescent="0.2">
      <c r="A36">
        <v>26</v>
      </c>
      <c r="B36">
        <v>26</v>
      </c>
      <c r="C36" t="s">
        <v>72</v>
      </c>
      <c r="D36" t="s">
        <v>73</v>
      </c>
      <c r="E36" t="s">
        <v>73</v>
      </c>
      <c r="F36" cm="1">
        <f t="array" ref="F36">_xlfn.XLOOKUP(_xlfn.XLOOKUP(tblTags[[#This Row],[Tag]],db_drift!$B$2:$B$259,db_drift!$D$2:$D$259),tblInputTypes[[#All],[InputTypeName]],tblInputTypes[[#All],[InputTypeID]],"")</f>
        <v>3</v>
      </c>
      <c r="G36">
        <v>11</v>
      </c>
      <c r="I36" t="str">
        <f>_xlfn.XLOOKUP(_xlfn.XLOOKUP(tblTags[[#This Row],[Tag]],db_drift!$B$2:$B$259,db_drift!$A$2:$A$259),tblDepartmentHeadings[DepartmentHeading],tblDepartmentHeadings[DepartmentHeadingID],"")</f>
        <v/>
      </c>
      <c r="J36">
        <v>9</v>
      </c>
      <c r="K36" t="str">
        <f>_xlfn.XLOOKUP(_xlfn.XLOOKUP(tblTags[[#This Row],[Tag]],db_drift!$B$2:$B$259,db_drift!$E$2:$E$259),tblFuelTypes[FuelType],tblFuelTypes[FuelTypeID],"")</f>
        <v/>
      </c>
      <c r="L36" t="str">
        <f>_xlfn.XLOOKUP(_xlfn.XLOOKUP(tblTags[[#This Row],[Tag]],db_drift!$B$2:$B$259,db_drift!$F$2:$F$259),tblFuelAllocations[FuelAllocation],tblFuelAllocations[FuelAllocationID],"")</f>
        <v/>
      </c>
      <c r="M36" t="str">
        <f>_xlfn.XLOOKUP(tblTags[[#This Row],[Tag]],tblHelpCalc1[Tag],tblHelpCalc1[Calc1ID],"")</f>
        <v/>
      </c>
      <c r="N36" t="str">
        <f>_xlfn.XLOOKUP(tblTags[[#This Row],[Tag]],tblHelpCalc2[Tag],tblHelpCalc2[Calc2ID],"")</f>
        <v/>
      </c>
      <c r="O36" s="2">
        <f>_xlfn.XLOOKUP(_xlfn.XLOOKUP(tblTags[[#This Row],[Tag]],tblDbDrift[Tag],tblDbDrift[Hide Tags]),tblHideTags[HideTag],tblHideTags[ID],"")</f>
        <v>1</v>
      </c>
      <c r="P36" s="2"/>
      <c r="Q36" s="2" t="s">
        <v>623</v>
      </c>
      <c r="R36" s="2"/>
      <c r="S36" s="2"/>
      <c r="AS36">
        <v>26</v>
      </c>
      <c r="AT36" t="s">
        <v>410</v>
      </c>
      <c r="AU36" t="s">
        <v>552</v>
      </c>
      <c r="AW36">
        <v>26</v>
      </c>
      <c r="AX36" t="s">
        <v>169</v>
      </c>
      <c r="AY36" t="s">
        <v>518</v>
      </c>
    </row>
    <row r="37" spans="1:51" x14ac:dyDescent="0.2">
      <c r="A37">
        <v>27</v>
      </c>
      <c r="B37">
        <v>27</v>
      </c>
      <c r="C37" t="s">
        <v>74</v>
      </c>
      <c r="D37" t="s">
        <v>75</v>
      </c>
      <c r="E37" t="s">
        <v>75</v>
      </c>
      <c r="F37" cm="1">
        <f t="array" ref="F37">_xlfn.XLOOKUP(_xlfn.XLOOKUP(tblTags[[#This Row],[Tag]],db_drift!$B$2:$B$259,db_drift!$D$2:$D$259),tblInputTypes[[#All],[InputTypeName]],tblInputTypes[[#All],[InputTypeID]],"")</f>
        <v>3</v>
      </c>
      <c r="G37">
        <v>11</v>
      </c>
      <c r="I37" t="str">
        <f>_xlfn.XLOOKUP(_xlfn.XLOOKUP(tblTags[[#This Row],[Tag]],db_drift!$B$2:$B$259,db_drift!$A$2:$A$259),tblDepartmentHeadings[DepartmentHeading],tblDepartmentHeadings[DepartmentHeadingID],"")</f>
        <v/>
      </c>
      <c r="J37">
        <v>9</v>
      </c>
      <c r="K37" t="str">
        <f>_xlfn.XLOOKUP(_xlfn.XLOOKUP(tblTags[[#This Row],[Tag]],db_drift!$B$2:$B$259,db_drift!$E$2:$E$259),tblFuelTypes[FuelType],tblFuelTypes[FuelTypeID],"")</f>
        <v/>
      </c>
      <c r="L37" t="str">
        <f>_xlfn.XLOOKUP(_xlfn.XLOOKUP(tblTags[[#This Row],[Tag]],db_drift!$B$2:$B$259,db_drift!$F$2:$F$259),tblFuelAllocations[FuelAllocation],tblFuelAllocations[FuelAllocationID],"")</f>
        <v/>
      </c>
      <c r="M37" t="str">
        <f>_xlfn.XLOOKUP(tblTags[[#This Row],[Tag]],tblHelpCalc1[Tag],tblHelpCalc1[Calc1ID],"")</f>
        <v/>
      </c>
      <c r="N37" t="str">
        <f>_xlfn.XLOOKUP(tblTags[[#This Row],[Tag]],tblHelpCalc2[Tag],tblHelpCalc2[Calc2ID],"")</f>
        <v/>
      </c>
      <c r="O37" s="2">
        <f>_xlfn.XLOOKUP(_xlfn.XLOOKUP(tblTags[[#This Row],[Tag]],tblDbDrift[Tag],tblDbDrift[Hide Tags]),tblHideTags[HideTag],tblHideTags[ID],"")</f>
        <v>1</v>
      </c>
      <c r="P37" s="2"/>
      <c r="Q37" s="2" t="s">
        <v>623</v>
      </c>
      <c r="R37" s="2"/>
      <c r="S37" s="2"/>
      <c r="AS37">
        <v>27</v>
      </c>
      <c r="AT37" t="s">
        <v>411</v>
      </c>
      <c r="AU37" t="s">
        <v>554</v>
      </c>
      <c r="AW37">
        <v>27</v>
      </c>
      <c r="AX37" t="s">
        <v>170</v>
      </c>
      <c r="AY37" t="s">
        <v>518</v>
      </c>
    </row>
    <row r="38" spans="1:51" x14ac:dyDescent="0.2">
      <c r="A38">
        <v>28</v>
      </c>
      <c r="B38">
        <v>28</v>
      </c>
      <c r="C38" t="s">
        <v>76</v>
      </c>
      <c r="D38" t="s">
        <v>77</v>
      </c>
      <c r="E38" t="s">
        <v>77</v>
      </c>
      <c r="F38" cm="1">
        <f t="array" ref="F38">_xlfn.XLOOKUP(_xlfn.XLOOKUP(tblTags[[#This Row],[Tag]],db_drift!$B$2:$B$259,db_drift!$D$2:$D$259),tblInputTypes[[#All],[InputTypeName]],tblInputTypes[[#All],[InputTypeID]],"")</f>
        <v>1</v>
      </c>
      <c r="G38">
        <v>11</v>
      </c>
      <c r="I38" t="str">
        <f>_xlfn.XLOOKUP(_xlfn.XLOOKUP(tblTags[[#This Row],[Tag]],db_drift!$B$2:$B$259,db_drift!$A$2:$A$259),tblDepartmentHeadings[DepartmentHeading],tblDepartmentHeadings[DepartmentHeadingID],"")</f>
        <v/>
      </c>
      <c r="J38">
        <v>9</v>
      </c>
      <c r="K38" t="str">
        <f>_xlfn.XLOOKUP(_xlfn.XLOOKUP(tblTags[[#This Row],[Tag]],db_drift!$B$2:$B$259,db_drift!$E$2:$E$259),tblFuelTypes[FuelType],tblFuelTypes[FuelTypeID],"")</f>
        <v/>
      </c>
      <c r="L38" t="str">
        <f>_xlfn.XLOOKUP(_xlfn.XLOOKUP(tblTags[[#This Row],[Tag]],db_drift!$B$2:$B$259,db_drift!$F$2:$F$259),tblFuelAllocations[FuelAllocation],tblFuelAllocations[FuelAllocationID],"")</f>
        <v/>
      </c>
      <c r="M38" t="str">
        <f>_xlfn.XLOOKUP(tblTags[[#This Row],[Tag]],tblHelpCalc1[Tag],tblHelpCalc1[Calc1ID],"")</f>
        <v/>
      </c>
      <c r="N38" t="str">
        <f>_xlfn.XLOOKUP(tblTags[[#This Row],[Tag]],tblHelpCalc2[Tag],tblHelpCalc2[Calc2ID],"")</f>
        <v/>
      </c>
      <c r="O38" s="2" t="str">
        <f>_xlfn.XLOOKUP(_xlfn.XLOOKUP(tblTags[[#This Row],[Tag]],tblDbDrift[Tag],tblDbDrift[Hide Tags]),tblHideTags[HideTag],tblHideTags[ID],"")</f>
        <v/>
      </c>
      <c r="P38" s="2"/>
      <c r="Q38" s="2" t="s">
        <v>624</v>
      </c>
      <c r="R38" s="2"/>
      <c r="S38" s="2"/>
      <c r="AS38">
        <v>28</v>
      </c>
      <c r="AT38" t="s">
        <v>412</v>
      </c>
      <c r="AU38" t="s">
        <v>556</v>
      </c>
      <c r="AW38">
        <v>28</v>
      </c>
      <c r="AX38" t="s">
        <v>171</v>
      </c>
      <c r="AY38" t="s">
        <v>518</v>
      </c>
    </row>
    <row r="39" spans="1:51" x14ac:dyDescent="0.2">
      <c r="A39">
        <v>29</v>
      </c>
      <c r="B39">
        <v>29</v>
      </c>
      <c r="C39" t="s">
        <v>78</v>
      </c>
      <c r="D39" t="s">
        <v>383</v>
      </c>
      <c r="E39" t="s">
        <v>383</v>
      </c>
      <c r="F39" cm="1">
        <f t="array" ref="F39">_xlfn.XLOOKUP(_xlfn.XLOOKUP(tblTags[[#This Row],[Tag]],db_drift!$B$2:$B$259,db_drift!$D$2:$D$259),tblInputTypes[[#All],[InputTypeName]],tblInputTypes[[#All],[InputTypeID]],"")</f>
        <v>1</v>
      </c>
      <c r="G39">
        <v>11</v>
      </c>
      <c r="I39" t="str">
        <f>_xlfn.XLOOKUP(_xlfn.XLOOKUP(tblTags[[#This Row],[Tag]],db_drift!$B$2:$B$259,db_drift!$A$2:$A$259),tblDepartmentHeadings[DepartmentHeading],tblDepartmentHeadings[DepartmentHeadingID],"")</f>
        <v/>
      </c>
      <c r="J39">
        <v>9</v>
      </c>
      <c r="K39" t="str">
        <f>_xlfn.XLOOKUP(_xlfn.XLOOKUP(tblTags[[#This Row],[Tag]],db_drift!$B$2:$B$259,db_drift!$E$2:$E$259),tblFuelTypes[FuelType],tblFuelTypes[FuelTypeID],"")</f>
        <v/>
      </c>
      <c r="L39" t="str">
        <f>_xlfn.XLOOKUP(_xlfn.XLOOKUP(tblTags[[#This Row],[Tag]],db_drift!$B$2:$B$259,db_drift!$F$2:$F$259),tblFuelAllocations[FuelAllocation],tblFuelAllocations[FuelAllocationID],"")</f>
        <v/>
      </c>
      <c r="M39" t="str">
        <f>_xlfn.XLOOKUP(tblTags[[#This Row],[Tag]],tblHelpCalc1[Tag],tblHelpCalc1[Calc1ID],"")</f>
        <v/>
      </c>
      <c r="N39" t="str">
        <f>_xlfn.XLOOKUP(tblTags[[#This Row],[Tag]],tblHelpCalc2[Tag],tblHelpCalc2[Calc2ID],"")</f>
        <v/>
      </c>
      <c r="O39" s="2" t="str">
        <f>_xlfn.XLOOKUP(_xlfn.XLOOKUP(tblTags[[#This Row],[Tag]],tblDbDrift[Tag],tblDbDrift[Hide Tags]),tblHideTags[HideTag],tblHideTags[ID],"")</f>
        <v/>
      </c>
      <c r="P39" s="2"/>
      <c r="Q39" s="2" t="s">
        <v>625</v>
      </c>
      <c r="R39" s="2"/>
      <c r="S39" s="2"/>
      <c r="AS39">
        <v>29</v>
      </c>
      <c r="AT39" t="s">
        <v>413</v>
      </c>
      <c r="AU39" t="s">
        <v>558</v>
      </c>
      <c r="AW39">
        <v>29</v>
      </c>
      <c r="AX39" t="s">
        <v>173</v>
      </c>
      <c r="AY39" t="s">
        <v>513</v>
      </c>
    </row>
    <row r="40" spans="1:51" x14ac:dyDescent="0.2">
      <c r="A40">
        <v>30</v>
      </c>
      <c r="B40">
        <v>30</v>
      </c>
      <c r="C40" t="s">
        <v>79</v>
      </c>
      <c r="D40" t="s">
        <v>384</v>
      </c>
      <c r="E40" t="s">
        <v>384</v>
      </c>
      <c r="F40" cm="1">
        <f t="array" ref="F40">_xlfn.XLOOKUP(_xlfn.XLOOKUP(tblTags[[#This Row],[Tag]],db_drift!$B$2:$B$259,db_drift!$D$2:$D$259),tblInputTypes[[#All],[InputTypeName]],tblInputTypes[[#All],[InputTypeID]],"")</f>
        <v>1</v>
      </c>
      <c r="G40">
        <v>11</v>
      </c>
      <c r="I40" t="str">
        <f>_xlfn.XLOOKUP(_xlfn.XLOOKUP(tblTags[[#This Row],[Tag]],db_drift!$B$2:$B$259,db_drift!$A$2:$A$259),tblDepartmentHeadings[DepartmentHeading],tblDepartmentHeadings[DepartmentHeadingID],"")</f>
        <v/>
      </c>
      <c r="J40">
        <v>9</v>
      </c>
      <c r="K40" t="str">
        <f>_xlfn.XLOOKUP(_xlfn.XLOOKUP(tblTags[[#This Row],[Tag]],db_drift!$B$2:$B$259,db_drift!$E$2:$E$259),tblFuelTypes[FuelType],tblFuelTypes[FuelTypeID],"")</f>
        <v/>
      </c>
      <c r="L40" t="str">
        <f>_xlfn.XLOOKUP(_xlfn.XLOOKUP(tblTags[[#This Row],[Tag]],db_drift!$B$2:$B$259,db_drift!$F$2:$F$259),tblFuelAllocations[FuelAllocation],tblFuelAllocations[FuelAllocationID],"")</f>
        <v/>
      </c>
      <c r="M40" t="str">
        <f>_xlfn.XLOOKUP(tblTags[[#This Row],[Tag]],tblHelpCalc1[Tag],tblHelpCalc1[Calc1ID],"")</f>
        <v/>
      </c>
      <c r="N40" t="str">
        <f>_xlfn.XLOOKUP(tblTags[[#This Row],[Tag]],tblHelpCalc2[Tag],tblHelpCalc2[Calc2ID],"")</f>
        <v/>
      </c>
      <c r="O40" s="2" t="str">
        <f>_xlfn.XLOOKUP(_xlfn.XLOOKUP(tblTags[[#This Row],[Tag]],tblDbDrift[Tag],tblDbDrift[Hide Tags]),tblHideTags[HideTag],tblHideTags[ID],"")</f>
        <v/>
      </c>
      <c r="P40" s="2"/>
      <c r="Q40" s="2" t="s">
        <v>625</v>
      </c>
      <c r="R40" s="2"/>
      <c r="S40" s="2"/>
      <c r="AS40">
        <v>30</v>
      </c>
      <c r="AT40" t="s">
        <v>414</v>
      </c>
      <c r="AU40" t="s">
        <v>560</v>
      </c>
      <c r="AW40">
        <v>30</v>
      </c>
      <c r="AX40" t="s">
        <v>174</v>
      </c>
      <c r="AY40" t="s">
        <v>515</v>
      </c>
    </row>
    <row r="41" spans="1:51" x14ac:dyDescent="0.2">
      <c r="A41">
        <v>31</v>
      </c>
      <c r="B41">
        <v>31</v>
      </c>
      <c r="C41" t="s">
        <v>80</v>
      </c>
      <c r="D41" t="s">
        <v>385</v>
      </c>
      <c r="E41" t="s">
        <v>385</v>
      </c>
      <c r="F41" cm="1">
        <f t="array" ref="F41">_xlfn.XLOOKUP(_xlfn.XLOOKUP(tblTags[[#This Row],[Tag]],db_drift!$B$2:$B$259,db_drift!$D$2:$D$259),tblInputTypes[[#All],[InputTypeName]],tblInputTypes[[#All],[InputTypeID]],"")</f>
        <v>1</v>
      </c>
      <c r="G41">
        <v>11</v>
      </c>
      <c r="I41" t="str">
        <f>_xlfn.XLOOKUP(_xlfn.XLOOKUP(tblTags[[#This Row],[Tag]],db_drift!$B$2:$B$259,db_drift!$A$2:$A$259),tblDepartmentHeadings[DepartmentHeading],tblDepartmentHeadings[DepartmentHeadingID],"")</f>
        <v/>
      </c>
      <c r="J41">
        <v>9</v>
      </c>
      <c r="K41" t="str">
        <f>_xlfn.XLOOKUP(_xlfn.XLOOKUP(tblTags[[#This Row],[Tag]],db_drift!$B$2:$B$259,db_drift!$E$2:$E$259),tblFuelTypes[FuelType],tblFuelTypes[FuelTypeID],"")</f>
        <v/>
      </c>
      <c r="L41" t="str">
        <f>_xlfn.XLOOKUP(_xlfn.XLOOKUP(tblTags[[#This Row],[Tag]],db_drift!$B$2:$B$259,db_drift!$F$2:$F$259),tblFuelAllocations[FuelAllocation],tblFuelAllocations[FuelAllocationID],"")</f>
        <v/>
      </c>
      <c r="M41" t="str">
        <f>_xlfn.XLOOKUP(tblTags[[#This Row],[Tag]],tblHelpCalc1[Tag],tblHelpCalc1[Calc1ID],"")</f>
        <v/>
      </c>
      <c r="N41" t="str">
        <f>_xlfn.XLOOKUP(tblTags[[#This Row],[Tag]],tblHelpCalc2[Tag],tblHelpCalc2[Calc2ID],"")</f>
        <v/>
      </c>
      <c r="O41" s="2" t="str">
        <f>_xlfn.XLOOKUP(_xlfn.XLOOKUP(tblTags[[#This Row],[Tag]],tblDbDrift[Tag],tblDbDrift[Hide Tags]),tblHideTags[HideTag],tblHideTags[ID],"")</f>
        <v/>
      </c>
      <c r="P41" s="2"/>
      <c r="Q41" s="2" t="s">
        <v>625</v>
      </c>
      <c r="R41" s="2"/>
      <c r="S41" s="2"/>
      <c r="AS41">
        <v>31</v>
      </c>
      <c r="AT41" t="s">
        <v>415</v>
      </c>
      <c r="AU41" t="s">
        <v>562</v>
      </c>
      <c r="AW41">
        <v>31</v>
      </c>
      <c r="AX41" t="s">
        <v>395</v>
      </c>
      <c r="AY41" t="s">
        <v>243</v>
      </c>
    </row>
    <row r="42" spans="1:51" x14ac:dyDescent="0.2">
      <c r="A42">
        <v>32</v>
      </c>
      <c r="B42">
        <v>32</v>
      </c>
      <c r="C42" t="s">
        <v>81</v>
      </c>
      <c r="D42" t="s">
        <v>366</v>
      </c>
      <c r="E42" t="s">
        <v>366</v>
      </c>
      <c r="F42" cm="1">
        <f t="array" ref="F42">_xlfn.XLOOKUP(_xlfn.XLOOKUP(tblTags[[#This Row],[Tag]],db_drift!$B$2:$B$259,db_drift!$D$2:$D$259),tblInputTypes[[#All],[InputTypeName]],tblInputTypes[[#All],[InputTypeID]],"")</f>
        <v>1</v>
      </c>
      <c r="G42">
        <v>11</v>
      </c>
      <c r="I42" t="str">
        <f>_xlfn.XLOOKUP(_xlfn.XLOOKUP(tblTags[[#This Row],[Tag]],db_drift!$B$2:$B$259,db_drift!$A$2:$A$259),tblDepartmentHeadings[DepartmentHeading],tblDepartmentHeadings[DepartmentHeadingID],"")</f>
        <v/>
      </c>
      <c r="J42">
        <v>9</v>
      </c>
      <c r="K42" t="str">
        <f>_xlfn.XLOOKUP(_xlfn.XLOOKUP(tblTags[[#This Row],[Tag]],db_drift!$B$2:$B$259,db_drift!$E$2:$E$259),tblFuelTypes[FuelType],tblFuelTypes[FuelTypeID],"")</f>
        <v/>
      </c>
      <c r="L42" t="str">
        <f>_xlfn.XLOOKUP(_xlfn.XLOOKUP(tblTags[[#This Row],[Tag]],db_drift!$B$2:$B$259,db_drift!$F$2:$F$259),tblFuelAllocations[FuelAllocation],tblFuelAllocations[FuelAllocationID],"")</f>
        <v/>
      </c>
      <c r="M42" t="str">
        <f>_xlfn.XLOOKUP(tblTags[[#This Row],[Tag]],tblHelpCalc1[Tag],tblHelpCalc1[Calc1ID],"")</f>
        <v/>
      </c>
      <c r="N42" t="str">
        <f>_xlfn.XLOOKUP(tblTags[[#This Row],[Tag]],tblHelpCalc2[Tag],tblHelpCalc2[Calc2ID],"")</f>
        <v/>
      </c>
      <c r="O42" s="2" t="str">
        <f>_xlfn.XLOOKUP(_xlfn.XLOOKUP(tblTags[[#This Row],[Tag]],tblDbDrift[Tag],tblDbDrift[Hide Tags]),tblHideTags[HideTag],tblHideTags[ID],"")</f>
        <v/>
      </c>
      <c r="P42" s="2"/>
      <c r="Q42" s="2" t="s">
        <v>625</v>
      </c>
      <c r="R42" s="2"/>
      <c r="S42" s="2"/>
      <c r="AS42">
        <v>32</v>
      </c>
      <c r="AT42" t="s">
        <v>416</v>
      </c>
      <c r="AU42" t="s">
        <v>564</v>
      </c>
      <c r="AW42">
        <v>32</v>
      </c>
      <c r="AX42" t="s">
        <v>396</v>
      </c>
      <c r="AY42" t="s">
        <v>244</v>
      </c>
    </row>
    <row r="43" spans="1:51" x14ac:dyDescent="0.2">
      <c r="A43">
        <v>33</v>
      </c>
      <c r="B43">
        <v>33</v>
      </c>
      <c r="C43" t="s">
        <v>82</v>
      </c>
      <c r="D43" t="s">
        <v>367</v>
      </c>
      <c r="E43" t="s">
        <v>367</v>
      </c>
      <c r="F43" cm="1">
        <f t="array" ref="F43">_xlfn.XLOOKUP(_xlfn.XLOOKUP(tblTags[[#This Row],[Tag]],db_drift!$B$2:$B$259,db_drift!$D$2:$D$259),tblInputTypes[[#All],[InputTypeName]],tblInputTypes[[#All],[InputTypeID]],"")</f>
        <v>1</v>
      </c>
      <c r="G43">
        <v>11</v>
      </c>
      <c r="I43" t="str">
        <f>_xlfn.XLOOKUP(_xlfn.XLOOKUP(tblTags[[#This Row],[Tag]],db_drift!$B$2:$B$259,db_drift!$A$2:$A$259),tblDepartmentHeadings[DepartmentHeading],tblDepartmentHeadings[DepartmentHeadingID],"")</f>
        <v/>
      </c>
      <c r="J43">
        <v>9</v>
      </c>
      <c r="K43" t="str">
        <f>_xlfn.XLOOKUP(_xlfn.XLOOKUP(tblTags[[#This Row],[Tag]],db_drift!$B$2:$B$259,db_drift!$E$2:$E$259),tblFuelTypes[FuelType],tblFuelTypes[FuelTypeID],"")</f>
        <v/>
      </c>
      <c r="L43" t="str">
        <f>_xlfn.XLOOKUP(_xlfn.XLOOKUP(tblTags[[#This Row],[Tag]],db_drift!$B$2:$B$259,db_drift!$F$2:$F$259),tblFuelAllocations[FuelAllocation],tblFuelAllocations[FuelAllocationID],"")</f>
        <v/>
      </c>
      <c r="M43" t="str">
        <f>_xlfn.XLOOKUP(tblTags[[#This Row],[Tag]],tblHelpCalc1[Tag],tblHelpCalc1[Calc1ID],"")</f>
        <v/>
      </c>
      <c r="N43" t="str">
        <f>_xlfn.XLOOKUP(tblTags[[#This Row],[Tag]],tblHelpCalc2[Tag],tblHelpCalc2[Calc2ID],"")</f>
        <v/>
      </c>
      <c r="O43" s="2" t="str">
        <f>_xlfn.XLOOKUP(_xlfn.XLOOKUP(tblTags[[#This Row],[Tag]],tblDbDrift[Tag],tblDbDrift[Hide Tags]),tblHideTags[HideTag],tblHideTags[ID],"")</f>
        <v/>
      </c>
      <c r="P43" s="2"/>
      <c r="Q43" s="2" t="s">
        <v>626</v>
      </c>
      <c r="R43" s="2"/>
      <c r="S43" s="2"/>
      <c r="AS43">
        <v>33</v>
      </c>
      <c r="AT43" t="s">
        <v>417</v>
      </c>
      <c r="AU43" t="s">
        <v>566</v>
      </c>
      <c r="AW43">
        <v>33</v>
      </c>
      <c r="AX43" t="s">
        <v>397</v>
      </c>
      <c r="AY43" t="s">
        <v>245</v>
      </c>
    </row>
    <row r="44" spans="1:51" x14ac:dyDescent="0.2">
      <c r="A44">
        <v>34</v>
      </c>
      <c r="B44">
        <v>34</v>
      </c>
      <c r="C44" t="s">
        <v>9</v>
      </c>
      <c r="F44" t="str" cm="1">
        <f t="array" ref="F44">_xlfn.XLOOKUP(_xlfn.XLOOKUP(tblTags[[#This Row],[Tag]],db_drift!$B$2:$B$259,db_drift!$D$2:$D$259),tblInputTypes[[#All],[InputTypeName]],tblInputTypes[[#All],[InputTypeID]],"")</f>
        <v/>
      </c>
      <c r="G44">
        <v>8</v>
      </c>
      <c r="I44" t="str">
        <f>_xlfn.XLOOKUP(_xlfn.XLOOKUP(tblTags[[#This Row],[Tag]],db_drift!$B$2:$B$259,db_drift!$A$2:$A$259),tblDepartmentHeadings[DepartmentHeading],tblDepartmentHeadings[DepartmentHeadingID],"")</f>
        <v/>
      </c>
      <c r="K44" t="str">
        <f>_xlfn.XLOOKUP(_xlfn.XLOOKUP(tblTags[[#This Row],[Tag]],db_drift!$B$2:$B$259,db_drift!$E$2:$E$259),tblFuelTypes[FuelType],tblFuelTypes[FuelTypeID],"")</f>
        <v/>
      </c>
      <c r="L44" t="str">
        <f>_xlfn.XLOOKUP(_xlfn.XLOOKUP(tblTags[[#This Row],[Tag]],db_drift!$B$2:$B$259,db_drift!$F$2:$F$259),tblFuelAllocations[FuelAllocation],tblFuelAllocations[FuelAllocationID],"")</f>
        <v/>
      </c>
      <c r="M44" t="str">
        <f>_xlfn.XLOOKUP(tblTags[[#This Row],[Tag]],tblHelpCalc1[Tag],tblHelpCalc1[Calc1ID],"")</f>
        <v/>
      </c>
      <c r="N44" t="str">
        <f>_xlfn.XLOOKUP(tblTags[[#This Row],[Tag]],tblHelpCalc2[Tag],tblHelpCalc2[Calc2ID],"")</f>
        <v/>
      </c>
      <c r="O44" s="2" t="str">
        <f>_xlfn.XLOOKUP(_xlfn.XLOOKUP(tblTags[[#This Row],[Tag]],tblDbDrift[Tag],tblDbDrift[Hide Tags]),tblHideTags[HideTag],tblHideTags[ID],"")</f>
        <v/>
      </c>
      <c r="P44" s="2"/>
      <c r="Q44" s="2" t="s">
        <v>627</v>
      </c>
      <c r="R44" s="2"/>
      <c r="S44" s="2"/>
      <c r="AS44">
        <v>34</v>
      </c>
      <c r="AT44" t="s">
        <v>418</v>
      </c>
      <c r="AU44" t="s">
        <v>546</v>
      </c>
      <c r="AW44">
        <v>34</v>
      </c>
      <c r="AX44" t="s">
        <v>398</v>
      </c>
      <c r="AY44" t="s">
        <v>247</v>
      </c>
    </row>
    <row r="45" spans="1:51" x14ac:dyDescent="0.2">
      <c r="A45">
        <v>35</v>
      </c>
      <c r="B45">
        <v>35</v>
      </c>
      <c r="C45" t="s">
        <v>83</v>
      </c>
      <c r="D45" t="s">
        <v>84</v>
      </c>
      <c r="E45" t="s">
        <v>84</v>
      </c>
      <c r="F45" cm="1">
        <f t="array" ref="F45">_xlfn.XLOOKUP(_xlfn.XLOOKUP(tblTags[[#This Row],[Tag]],db_drift!$B$2:$B$259,db_drift!$D$2:$D$259),tblInputTypes[[#All],[InputTypeName]],tblInputTypes[[#All],[InputTypeID]],"")</f>
        <v>2</v>
      </c>
      <c r="G45">
        <v>8</v>
      </c>
      <c r="I45">
        <f>_xlfn.XLOOKUP(_xlfn.XLOOKUP(tblTags[[#This Row],[Tag]],db_drift!$B$2:$B$259,db_drift!$A$2:$A$259),tblDepartmentHeadings[DepartmentHeading],tblDepartmentHeadings[DepartmentHeadingID],"")</f>
        <v>3</v>
      </c>
      <c r="J45">
        <v>3</v>
      </c>
      <c r="K45" t="str">
        <f>_xlfn.XLOOKUP(_xlfn.XLOOKUP(tblTags[[#This Row],[Tag]],db_drift!$B$2:$B$259,db_drift!$E$2:$E$259),tblFuelTypes[FuelType],tblFuelTypes[FuelTypeID],"")</f>
        <v/>
      </c>
      <c r="L45" t="str">
        <f>_xlfn.XLOOKUP(_xlfn.XLOOKUP(tblTags[[#This Row],[Tag]],db_drift!$B$2:$B$259,db_drift!$F$2:$F$259),tblFuelAllocations[FuelAllocation],tblFuelAllocations[FuelAllocationID],"")</f>
        <v/>
      </c>
      <c r="M45" t="str">
        <f>_xlfn.XLOOKUP(tblTags[[#This Row],[Tag]],tblHelpCalc1[Tag],tblHelpCalc1[Calc1ID],"")</f>
        <v/>
      </c>
      <c r="N45" t="str">
        <f>_xlfn.XLOOKUP(tblTags[[#This Row],[Tag]],tblHelpCalc2[Tag],tblHelpCalc2[Calc2ID],"")</f>
        <v/>
      </c>
      <c r="O45" s="2" t="str">
        <f>_xlfn.XLOOKUP(_xlfn.XLOOKUP(tblTags[[#This Row],[Tag]],tblDbDrift[Tag],tblDbDrift[Hide Tags]),tblHideTags[HideTag],tblHideTags[ID],"")</f>
        <v/>
      </c>
      <c r="P45" s="2"/>
      <c r="Q45" s="2" t="s">
        <v>628</v>
      </c>
      <c r="R45" s="2"/>
      <c r="S45" s="2"/>
      <c r="AS45">
        <v>35</v>
      </c>
      <c r="AT45" t="s">
        <v>419</v>
      </c>
      <c r="AU45" t="s">
        <v>548</v>
      </c>
      <c r="AW45">
        <v>35</v>
      </c>
      <c r="AX45" t="s">
        <v>399</v>
      </c>
      <c r="AY45" t="s">
        <v>248</v>
      </c>
    </row>
    <row r="46" spans="1:51" x14ac:dyDescent="0.2">
      <c r="A46">
        <v>36</v>
      </c>
      <c r="B46">
        <v>36</v>
      </c>
      <c r="C46" t="s">
        <v>85</v>
      </c>
      <c r="D46" t="s">
        <v>86</v>
      </c>
      <c r="E46" t="s">
        <v>86</v>
      </c>
      <c r="F46" cm="1">
        <f t="array" ref="F46">_xlfn.XLOOKUP(_xlfn.XLOOKUP(tblTags[[#This Row],[Tag]],db_drift!$B$2:$B$259,db_drift!$D$2:$D$259),tblInputTypes[[#All],[InputTypeName]],tblInputTypes[[#All],[InputTypeID]],"")</f>
        <v>2</v>
      </c>
      <c r="G46">
        <v>8</v>
      </c>
      <c r="I46" t="str">
        <f>_xlfn.XLOOKUP(_xlfn.XLOOKUP(tblTags[[#This Row],[Tag]],db_drift!$B$2:$B$259,db_drift!$A$2:$A$259),tblDepartmentHeadings[DepartmentHeading],tblDepartmentHeadings[DepartmentHeadingID],"")</f>
        <v/>
      </c>
      <c r="J46">
        <v>3</v>
      </c>
      <c r="K46" t="str">
        <f>_xlfn.XLOOKUP(_xlfn.XLOOKUP(tblTags[[#This Row],[Tag]],db_drift!$B$2:$B$259,db_drift!$E$2:$E$259),tblFuelTypes[FuelType],tblFuelTypes[FuelTypeID],"")</f>
        <v/>
      </c>
      <c r="L46" t="str">
        <f>_xlfn.XLOOKUP(_xlfn.XLOOKUP(tblTags[[#This Row],[Tag]],db_drift!$B$2:$B$259,db_drift!$F$2:$F$259),tblFuelAllocations[FuelAllocation],tblFuelAllocations[FuelAllocationID],"")</f>
        <v/>
      </c>
      <c r="M46" t="str">
        <f>_xlfn.XLOOKUP(tblTags[[#This Row],[Tag]],tblHelpCalc1[Tag],tblHelpCalc1[Calc1ID],"")</f>
        <v/>
      </c>
      <c r="N46" t="str">
        <f>_xlfn.XLOOKUP(tblTags[[#This Row],[Tag]],tblHelpCalc2[Tag],tblHelpCalc2[Calc2ID],"")</f>
        <v/>
      </c>
      <c r="O46" s="2" t="str">
        <f>_xlfn.XLOOKUP(_xlfn.XLOOKUP(tblTags[[#This Row],[Tag]],tblDbDrift[Tag],tblDbDrift[Hide Tags]),tblHideTags[HideTag],tblHideTags[ID],"")</f>
        <v/>
      </c>
      <c r="P46" s="2"/>
      <c r="Q46" s="2" t="s">
        <v>629</v>
      </c>
      <c r="R46" s="2"/>
      <c r="S46" s="2"/>
      <c r="AS46">
        <v>36</v>
      </c>
      <c r="AT46" t="s">
        <v>420</v>
      </c>
      <c r="AU46" t="s">
        <v>550</v>
      </c>
      <c r="AW46">
        <v>36</v>
      </c>
      <c r="AX46" t="s">
        <v>400</v>
      </c>
      <c r="AY46" t="s">
        <v>249</v>
      </c>
    </row>
    <row r="47" spans="1:51" x14ac:dyDescent="0.2">
      <c r="A47">
        <v>37</v>
      </c>
      <c r="B47">
        <v>37</v>
      </c>
      <c r="C47" t="s">
        <v>87</v>
      </c>
      <c r="D47" t="s">
        <v>88</v>
      </c>
      <c r="E47" t="s">
        <v>88</v>
      </c>
      <c r="F47" cm="1">
        <f t="array" ref="F47">_xlfn.XLOOKUP(_xlfn.XLOOKUP(tblTags[[#This Row],[Tag]],db_drift!$B$2:$B$259,db_drift!$D$2:$D$259),tblInputTypes[[#All],[InputTypeName]],tblInputTypes[[#All],[InputTypeID]],"")</f>
        <v>2</v>
      </c>
      <c r="G47">
        <v>8</v>
      </c>
      <c r="I47" t="str">
        <f>_xlfn.XLOOKUP(_xlfn.XLOOKUP(tblTags[[#This Row],[Tag]],db_drift!$B$2:$B$259,db_drift!$A$2:$A$259),tblDepartmentHeadings[DepartmentHeading],tblDepartmentHeadings[DepartmentHeadingID],"")</f>
        <v/>
      </c>
      <c r="J47">
        <v>9</v>
      </c>
      <c r="K47" t="str">
        <f>_xlfn.XLOOKUP(_xlfn.XLOOKUP(tblTags[[#This Row],[Tag]],db_drift!$B$2:$B$259,db_drift!$E$2:$E$259),tblFuelTypes[FuelType],tblFuelTypes[FuelTypeID],"")</f>
        <v/>
      </c>
      <c r="L47" t="str">
        <f>_xlfn.XLOOKUP(_xlfn.XLOOKUP(tblTags[[#This Row],[Tag]],db_drift!$B$2:$B$259,db_drift!$F$2:$F$259),tblFuelAllocations[FuelAllocation],tblFuelAllocations[FuelAllocationID],"")</f>
        <v/>
      </c>
      <c r="M47" t="str">
        <f>_xlfn.XLOOKUP(tblTags[[#This Row],[Tag]],tblHelpCalc1[Tag],tblHelpCalc1[Calc1ID],"")</f>
        <v/>
      </c>
      <c r="N47" t="str">
        <f>_xlfn.XLOOKUP(tblTags[[#This Row],[Tag]],tblHelpCalc2[Tag],tblHelpCalc2[Calc2ID],"")</f>
        <v/>
      </c>
      <c r="O47" s="2" t="str">
        <f>_xlfn.XLOOKUP(_xlfn.XLOOKUP(tblTags[[#This Row],[Tag]],tblDbDrift[Tag],tblDbDrift[Hide Tags]),tblHideTags[HideTag],tblHideTags[ID],"")</f>
        <v/>
      </c>
      <c r="P47" s="2"/>
      <c r="Q47" s="2" t="s">
        <v>630</v>
      </c>
      <c r="R47" s="2"/>
      <c r="S47" s="2"/>
      <c r="AS47">
        <v>37</v>
      </c>
      <c r="AT47" t="s">
        <v>421</v>
      </c>
      <c r="AU47" t="s">
        <v>552</v>
      </c>
      <c r="AW47">
        <v>37</v>
      </c>
      <c r="AX47" t="s">
        <v>401</v>
      </c>
      <c r="AY47" t="s">
        <v>251</v>
      </c>
    </row>
    <row r="48" spans="1:51" x14ac:dyDescent="0.2">
      <c r="A48">
        <v>38</v>
      </c>
      <c r="B48">
        <v>38</v>
      </c>
      <c r="C48" t="s">
        <v>89</v>
      </c>
      <c r="D48" t="s">
        <v>386</v>
      </c>
      <c r="E48" t="s">
        <v>386</v>
      </c>
      <c r="F48" cm="1">
        <f t="array" ref="F48">_xlfn.XLOOKUP(_xlfn.XLOOKUP(tblTags[[#This Row],[Tag]],db_drift!$B$2:$B$259,db_drift!$D$2:$D$259),tblInputTypes[[#All],[InputTypeName]],tblInputTypes[[#All],[InputTypeID]],"")</f>
        <v>2</v>
      </c>
      <c r="G48">
        <v>8</v>
      </c>
      <c r="I48" t="str">
        <f>_xlfn.XLOOKUP(_xlfn.XLOOKUP(tblTags[[#This Row],[Tag]],db_drift!$B$2:$B$259,db_drift!$A$2:$A$259),tblDepartmentHeadings[DepartmentHeading],tblDepartmentHeadings[DepartmentHeadingID],"")</f>
        <v/>
      </c>
      <c r="J48">
        <v>9</v>
      </c>
      <c r="K48" t="str">
        <f>_xlfn.XLOOKUP(_xlfn.XLOOKUP(tblTags[[#This Row],[Tag]],db_drift!$B$2:$B$259,db_drift!$E$2:$E$259),tblFuelTypes[FuelType],tblFuelTypes[FuelTypeID],"")</f>
        <v/>
      </c>
      <c r="L48" t="str">
        <f>_xlfn.XLOOKUP(_xlfn.XLOOKUP(tblTags[[#This Row],[Tag]],db_drift!$B$2:$B$259,db_drift!$F$2:$F$259),tblFuelAllocations[FuelAllocation],tblFuelAllocations[FuelAllocationID],"")</f>
        <v/>
      </c>
      <c r="M48" t="str">
        <f>_xlfn.XLOOKUP(tblTags[[#This Row],[Tag]],tblHelpCalc1[Tag],tblHelpCalc1[Calc1ID],"")</f>
        <v/>
      </c>
      <c r="N48" t="str">
        <f>_xlfn.XLOOKUP(tblTags[[#This Row],[Tag]],tblHelpCalc2[Tag],tblHelpCalc2[Calc2ID],"")</f>
        <v/>
      </c>
      <c r="O48" s="2" t="str">
        <f>_xlfn.XLOOKUP(_xlfn.XLOOKUP(tblTags[[#This Row],[Tag]],tblDbDrift[Tag],tblDbDrift[Hide Tags]),tblHideTags[HideTag],tblHideTags[ID],"")</f>
        <v/>
      </c>
      <c r="P48" s="2"/>
      <c r="Q48" s="2" t="s">
        <v>631</v>
      </c>
      <c r="R48" s="2"/>
      <c r="S48" s="2"/>
      <c r="AS48">
        <v>38</v>
      </c>
      <c r="AT48" t="s">
        <v>422</v>
      </c>
      <c r="AU48" t="s">
        <v>554</v>
      </c>
      <c r="AW48">
        <v>38</v>
      </c>
      <c r="AX48" t="s">
        <v>402</v>
      </c>
      <c r="AY48" t="s">
        <v>252</v>
      </c>
    </row>
    <row r="49" spans="1:51" x14ac:dyDescent="0.2">
      <c r="A49">
        <v>39</v>
      </c>
      <c r="B49">
        <v>39</v>
      </c>
      <c r="C49" t="s">
        <v>90</v>
      </c>
      <c r="D49" t="s">
        <v>387</v>
      </c>
      <c r="E49" t="s">
        <v>387</v>
      </c>
      <c r="F49" cm="1">
        <f t="array" ref="F49">_xlfn.XLOOKUP(_xlfn.XLOOKUP(tblTags[[#This Row],[Tag]],db_drift!$B$2:$B$259,db_drift!$D$2:$D$259),tblInputTypes[[#All],[InputTypeName]],tblInputTypes[[#All],[InputTypeID]],"")</f>
        <v>2</v>
      </c>
      <c r="G49">
        <v>8</v>
      </c>
      <c r="I49" t="str">
        <f>_xlfn.XLOOKUP(_xlfn.XLOOKUP(tblTags[[#This Row],[Tag]],db_drift!$B$2:$B$259,db_drift!$A$2:$A$259),tblDepartmentHeadings[DepartmentHeading],tblDepartmentHeadings[DepartmentHeadingID],"")</f>
        <v/>
      </c>
      <c r="J49">
        <v>9</v>
      </c>
      <c r="K49" t="str">
        <f>_xlfn.XLOOKUP(_xlfn.XLOOKUP(tblTags[[#This Row],[Tag]],db_drift!$B$2:$B$259,db_drift!$E$2:$E$259),tblFuelTypes[FuelType],tblFuelTypes[FuelTypeID],"")</f>
        <v/>
      </c>
      <c r="L49" t="str">
        <f>_xlfn.XLOOKUP(_xlfn.XLOOKUP(tblTags[[#This Row],[Tag]],db_drift!$B$2:$B$259,db_drift!$F$2:$F$259),tblFuelAllocations[FuelAllocation],tblFuelAllocations[FuelAllocationID],"")</f>
        <v/>
      </c>
      <c r="M49" t="str">
        <f>_xlfn.XLOOKUP(tblTags[[#This Row],[Tag]],tblHelpCalc1[Tag],tblHelpCalc1[Calc1ID],"")</f>
        <v/>
      </c>
      <c r="N49" t="str">
        <f>_xlfn.XLOOKUP(tblTags[[#This Row],[Tag]],tblHelpCalc2[Tag],tblHelpCalc2[Calc2ID],"")</f>
        <v/>
      </c>
      <c r="O49" s="2" t="str">
        <f>_xlfn.XLOOKUP(_xlfn.XLOOKUP(tblTags[[#This Row],[Tag]],tblDbDrift[Tag],tblDbDrift[Hide Tags]),tblHideTags[HideTag],tblHideTags[ID],"")</f>
        <v/>
      </c>
      <c r="P49" s="2"/>
      <c r="Q49" s="2" t="s">
        <v>632</v>
      </c>
      <c r="R49" s="2"/>
      <c r="S49" s="2"/>
      <c r="AS49">
        <v>39</v>
      </c>
      <c r="AT49" t="s">
        <v>423</v>
      </c>
      <c r="AU49" t="s">
        <v>556</v>
      </c>
      <c r="AW49">
        <v>39</v>
      </c>
      <c r="AX49" t="s">
        <v>403</v>
      </c>
      <c r="AY49" t="s">
        <v>253</v>
      </c>
    </row>
    <row r="50" spans="1:51" x14ac:dyDescent="0.2">
      <c r="A50">
        <v>40</v>
      </c>
      <c r="B50">
        <v>40</v>
      </c>
      <c r="C50" t="s">
        <v>91</v>
      </c>
      <c r="D50" t="s">
        <v>92</v>
      </c>
      <c r="E50" t="s">
        <v>92</v>
      </c>
      <c r="F50" cm="1">
        <f t="array" ref="F50">_xlfn.XLOOKUP(_xlfn.XLOOKUP(tblTags[[#This Row],[Tag]],db_drift!$B$2:$B$259,db_drift!$D$2:$D$259),tblInputTypes[[#All],[InputTypeName]],tblInputTypes[[#All],[InputTypeID]],"")</f>
        <v>2</v>
      </c>
      <c r="G50">
        <v>8</v>
      </c>
      <c r="I50" t="str">
        <f>_xlfn.XLOOKUP(_xlfn.XLOOKUP(tblTags[[#This Row],[Tag]],db_drift!$B$2:$B$259,db_drift!$A$2:$A$259),tblDepartmentHeadings[DepartmentHeading],tblDepartmentHeadings[DepartmentHeadingID],"")</f>
        <v/>
      </c>
      <c r="J50">
        <v>9</v>
      </c>
      <c r="K50" t="str">
        <f>_xlfn.XLOOKUP(_xlfn.XLOOKUP(tblTags[[#This Row],[Tag]],db_drift!$B$2:$B$259,db_drift!$E$2:$E$259),tblFuelTypes[FuelType],tblFuelTypes[FuelTypeID],"")</f>
        <v/>
      </c>
      <c r="L50" t="str">
        <f>_xlfn.XLOOKUP(_xlfn.XLOOKUP(tblTags[[#This Row],[Tag]],db_drift!$B$2:$B$259,db_drift!$F$2:$F$259),tblFuelAllocations[FuelAllocation],tblFuelAllocations[FuelAllocationID],"")</f>
        <v/>
      </c>
      <c r="M50" t="str">
        <f>_xlfn.XLOOKUP(tblTags[[#This Row],[Tag]],tblHelpCalc1[Tag],tblHelpCalc1[Calc1ID],"")</f>
        <v/>
      </c>
      <c r="N50" t="str">
        <f>_xlfn.XLOOKUP(tblTags[[#This Row],[Tag]],tblHelpCalc2[Tag],tblHelpCalc2[Calc2ID],"")</f>
        <v/>
      </c>
      <c r="O50" s="2" t="str">
        <f>_xlfn.XLOOKUP(_xlfn.XLOOKUP(tblTags[[#This Row],[Tag]],tblDbDrift[Tag],tblDbDrift[Hide Tags]),tblHideTags[HideTag],tblHideTags[ID],"")</f>
        <v/>
      </c>
      <c r="P50" s="2"/>
      <c r="Q50" s="2" t="s">
        <v>633</v>
      </c>
      <c r="R50" s="2"/>
      <c r="S50" s="2"/>
      <c r="AS50">
        <v>40</v>
      </c>
      <c r="AT50" t="s">
        <v>424</v>
      </c>
      <c r="AU50" t="s">
        <v>558</v>
      </c>
      <c r="AW50">
        <v>40</v>
      </c>
      <c r="AX50" t="s">
        <v>404</v>
      </c>
      <c r="AY50" t="s">
        <v>254</v>
      </c>
    </row>
    <row r="51" spans="1:51" x14ac:dyDescent="0.2">
      <c r="A51">
        <v>41</v>
      </c>
      <c r="B51">
        <v>41</v>
      </c>
      <c r="C51" t="s">
        <v>93</v>
      </c>
      <c r="D51" t="s">
        <v>94</v>
      </c>
      <c r="E51" t="s">
        <v>94</v>
      </c>
      <c r="F51" cm="1">
        <f t="array" ref="F51">_xlfn.XLOOKUP(_xlfn.XLOOKUP(tblTags[[#This Row],[Tag]],db_drift!$B$2:$B$259,db_drift!$D$2:$D$259),tblInputTypes[[#All],[InputTypeName]],tblInputTypes[[#All],[InputTypeID]],"")</f>
        <v>2</v>
      </c>
      <c r="G51">
        <v>8</v>
      </c>
      <c r="I51" t="str">
        <f>_xlfn.XLOOKUP(_xlfn.XLOOKUP(tblTags[[#This Row],[Tag]],db_drift!$B$2:$B$259,db_drift!$A$2:$A$259),tblDepartmentHeadings[DepartmentHeading],tblDepartmentHeadings[DepartmentHeadingID],"")</f>
        <v/>
      </c>
      <c r="J51">
        <v>3</v>
      </c>
      <c r="K51" t="str">
        <f>_xlfn.XLOOKUP(_xlfn.XLOOKUP(tblTags[[#This Row],[Tag]],db_drift!$B$2:$B$259,db_drift!$E$2:$E$259),tblFuelTypes[FuelType],tblFuelTypes[FuelTypeID],"")</f>
        <v/>
      </c>
      <c r="L51" t="str">
        <f>_xlfn.XLOOKUP(_xlfn.XLOOKUP(tblTags[[#This Row],[Tag]],db_drift!$B$2:$B$259,db_drift!$F$2:$F$259),tblFuelAllocations[FuelAllocation],tblFuelAllocations[FuelAllocationID],"")</f>
        <v/>
      </c>
      <c r="M51" t="str">
        <f>_xlfn.XLOOKUP(tblTags[[#This Row],[Tag]],tblHelpCalc1[Tag],tblHelpCalc1[Calc1ID],"")</f>
        <v/>
      </c>
      <c r="N51" t="str">
        <f>_xlfn.XLOOKUP(tblTags[[#This Row],[Tag]],tblHelpCalc2[Tag],tblHelpCalc2[Calc2ID],"")</f>
        <v/>
      </c>
      <c r="O51" s="2" t="str">
        <f>_xlfn.XLOOKUP(_xlfn.XLOOKUP(tblTags[[#This Row],[Tag]],tblDbDrift[Tag],tblDbDrift[Hide Tags]),tblHideTags[HideTag],tblHideTags[ID],"")</f>
        <v/>
      </c>
      <c r="P51" s="2"/>
      <c r="Q51" s="2" t="s">
        <v>634</v>
      </c>
      <c r="R51" s="2"/>
      <c r="S51" s="2"/>
      <c r="AS51">
        <v>41</v>
      </c>
      <c r="AT51" t="s">
        <v>425</v>
      </c>
      <c r="AU51" t="s">
        <v>560</v>
      </c>
      <c r="AW51">
        <v>41</v>
      </c>
      <c r="AX51" t="s">
        <v>405</v>
      </c>
      <c r="AY51" t="s">
        <v>256</v>
      </c>
    </row>
    <row r="52" spans="1:51" x14ac:dyDescent="0.2">
      <c r="A52">
        <v>42</v>
      </c>
      <c r="B52">
        <v>42</v>
      </c>
      <c r="C52" t="s">
        <v>95</v>
      </c>
      <c r="D52" t="s">
        <v>96</v>
      </c>
      <c r="E52" t="s">
        <v>96</v>
      </c>
      <c r="F52" cm="1">
        <f t="array" ref="F52">_xlfn.XLOOKUP(_xlfn.XLOOKUP(tblTags[[#This Row],[Tag]],db_drift!$B$2:$B$259,db_drift!$D$2:$D$259),tblInputTypes[[#All],[InputTypeName]],tblInputTypes[[#All],[InputTypeID]],"")</f>
        <v>2</v>
      </c>
      <c r="G52">
        <v>8</v>
      </c>
      <c r="I52" t="str">
        <f>_xlfn.XLOOKUP(_xlfn.XLOOKUP(tblTags[[#This Row],[Tag]],db_drift!$B$2:$B$259,db_drift!$A$2:$A$259),tblDepartmentHeadings[DepartmentHeading],tblDepartmentHeadings[DepartmentHeadingID],"")</f>
        <v/>
      </c>
      <c r="J52">
        <v>3</v>
      </c>
      <c r="K52" t="str">
        <f>_xlfn.XLOOKUP(_xlfn.XLOOKUP(tblTags[[#This Row],[Tag]],db_drift!$B$2:$B$259,db_drift!$E$2:$E$259),tblFuelTypes[FuelType],tblFuelTypes[FuelTypeID],"")</f>
        <v/>
      </c>
      <c r="L52" t="str">
        <f>_xlfn.XLOOKUP(_xlfn.XLOOKUP(tblTags[[#This Row],[Tag]],db_drift!$B$2:$B$259,db_drift!$F$2:$F$259),tblFuelAllocations[FuelAllocation],tblFuelAllocations[FuelAllocationID],"")</f>
        <v/>
      </c>
      <c r="M52" t="str">
        <f>_xlfn.XLOOKUP(tblTags[[#This Row],[Tag]],tblHelpCalc1[Tag],tblHelpCalc1[Calc1ID],"")</f>
        <v/>
      </c>
      <c r="N52" t="str">
        <f>_xlfn.XLOOKUP(tblTags[[#This Row],[Tag]],tblHelpCalc2[Tag],tblHelpCalc2[Calc2ID],"")</f>
        <v/>
      </c>
      <c r="O52" s="2" t="str">
        <f>_xlfn.XLOOKUP(_xlfn.XLOOKUP(tblTags[[#This Row],[Tag]],tblDbDrift[Tag],tblDbDrift[Hide Tags]),tblHideTags[HideTag],tblHideTags[ID],"")</f>
        <v/>
      </c>
      <c r="P52" s="2"/>
      <c r="Q52" s="2" t="s">
        <v>635</v>
      </c>
      <c r="R52" s="2"/>
      <c r="S52" s="2"/>
      <c r="AS52">
        <v>42</v>
      </c>
      <c r="AT52" t="s">
        <v>426</v>
      </c>
      <c r="AU52" t="s">
        <v>562</v>
      </c>
      <c r="AW52">
        <v>42</v>
      </c>
      <c r="AX52" t="s">
        <v>407</v>
      </c>
      <c r="AY52" t="s">
        <v>547</v>
      </c>
    </row>
    <row r="53" spans="1:51" x14ac:dyDescent="0.2">
      <c r="A53">
        <v>43</v>
      </c>
      <c r="B53">
        <v>43</v>
      </c>
      <c r="C53" t="s">
        <v>97</v>
      </c>
      <c r="D53" t="s">
        <v>98</v>
      </c>
      <c r="E53" t="s">
        <v>98</v>
      </c>
      <c r="F53" cm="1">
        <f t="array" ref="F53">_xlfn.XLOOKUP(_xlfn.XLOOKUP(tblTags[[#This Row],[Tag]],db_drift!$B$2:$B$259,db_drift!$D$2:$D$259),tblInputTypes[[#All],[InputTypeName]],tblInputTypes[[#All],[InputTypeID]],"")</f>
        <v>2</v>
      </c>
      <c r="G53">
        <v>8</v>
      </c>
      <c r="I53" t="str">
        <f>_xlfn.XLOOKUP(_xlfn.XLOOKUP(tblTags[[#This Row],[Tag]],db_drift!$B$2:$B$259,db_drift!$A$2:$A$259),tblDepartmentHeadings[DepartmentHeading],tblDepartmentHeadings[DepartmentHeadingID],"")</f>
        <v/>
      </c>
      <c r="J53">
        <v>1</v>
      </c>
      <c r="K53" t="str">
        <f>_xlfn.XLOOKUP(_xlfn.XLOOKUP(tblTags[[#This Row],[Tag]],db_drift!$B$2:$B$259,db_drift!$E$2:$E$259),tblFuelTypes[FuelType],tblFuelTypes[FuelTypeID],"")</f>
        <v/>
      </c>
      <c r="L53" t="str">
        <f>_xlfn.XLOOKUP(_xlfn.XLOOKUP(tblTags[[#This Row],[Tag]],db_drift!$B$2:$B$259,db_drift!$F$2:$F$259),tblFuelAllocations[FuelAllocation],tblFuelAllocations[FuelAllocationID],"")</f>
        <v/>
      </c>
      <c r="M53" t="str">
        <f>_xlfn.XLOOKUP(tblTags[[#This Row],[Tag]],tblHelpCalc1[Tag],tblHelpCalc1[Calc1ID],"")</f>
        <v/>
      </c>
      <c r="N53" t="str">
        <f>_xlfn.XLOOKUP(tblTags[[#This Row],[Tag]],tblHelpCalc2[Tag],tblHelpCalc2[Calc2ID],"")</f>
        <v/>
      </c>
      <c r="O53" s="2" t="str">
        <f>_xlfn.XLOOKUP(_xlfn.XLOOKUP(tblTags[[#This Row],[Tag]],tblDbDrift[Tag],tblDbDrift[Hide Tags]),tblHideTags[HideTag],tblHideTags[ID],"")</f>
        <v/>
      </c>
      <c r="P53" s="2"/>
      <c r="Q53" s="2" t="s">
        <v>636</v>
      </c>
      <c r="R53" s="2"/>
      <c r="S53" s="2"/>
      <c r="AS53">
        <v>43</v>
      </c>
      <c r="AT53" t="s">
        <v>427</v>
      </c>
      <c r="AU53" t="s">
        <v>564</v>
      </c>
      <c r="AW53">
        <v>43</v>
      </c>
      <c r="AX53" t="s">
        <v>408</v>
      </c>
      <c r="AY53" t="s">
        <v>549</v>
      </c>
    </row>
    <row r="54" spans="1:51" x14ac:dyDescent="0.2">
      <c r="A54">
        <v>44</v>
      </c>
      <c r="B54">
        <v>44</v>
      </c>
      <c r="C54" t="s">
        <v>99</v>
      </c>
      <c r="D54" t="s">
        <v>388</v>
      </c>
      <c r="E54" t="s">
        <v>388</v>
      </c>
      <c r="F54" cm="1">
        <f t="array" ref="F54">_xlfn.XLOOKUP(_xlfn.XLOOKUP(tblTags[[#This Row],[Tag]],db_drift!$B$2:$B$259,db_drift!$D$2:$D$259),tblInputTypes[[#All],[InputTypeName]],tblInputTypes[[#All],[InputTypeID]],"")</f>
        <v>2</v>
      </c>
      <c r="G54">
        <v>8</v>
      </c>
      <c r="I54" t="str">
        <f>_xlfn.XLOOKUP(_xlfn.XLOOKUP(tblTags[[#This Row],[Tag]],db_drift!$B$2:$B$259,db_drift!$A$2:$A$259),tblDepartmentHeadings[DepartmentHeading],tblDepartmentHeadings[DepartmentHeadingID],"")</f>
        <v/>
      </c>
      <c r="J54">
        <v>9</v>
      </c>
      <c r="K54" t="str">
        <f>_xlfn.XLOOKUP(_xlfn.XLOOKUP(tblTags[[#This Row],[Tag]],db_drift!$B$2:$B$259,db_drift!$E$2:$E$259),tblFuelTypes[FuelType],tblFuelTypes[FuelTypeID],"")</f>
        <v/>
      </c>
      <c r="L54" t="str">
        <f>_xlfn.XLOOKUP(_xlfn.XLOOKUP(tblTags[[#This Row],[Tag]],db_drift!$B$2:$B$259,db_drift!$F$2:$F$259),tblFuelAllocations[FuelAllocation],tblFuelAllocations[FuelAllocationID],"")</f>
        <v/>
      </c>
      <c r="M54" t="str">
        <f>_xlfn.XLOOKUP(tblTags[[#This Row],[Tag]],tblHelpCalc1[Tag],tblHelpCalc1[Calc1ID],"")</f>
        <v/>
      </c>
      <c r="N54" t="str">
        <f>_xlfn.XLOOKUP(tblTags[[#This Row],[Tag]],tblHelpCalc2[Tag],tblHelpCalc2[Calc2ID],"")</f>
        <v/>
      </c>
      <c r="O54" s="2" t="str">
        <f>_xlfn.XLOOKUP(_xlfn.XLOOKUP(tblTags[[#This Row],[Tag]],tblDbDrift[Tag],tblDbDrift[Hide Tags]),tblHideTags[HideTag],tblHideTags[ID],"")</f>
        <v/>
      </c>
      <c r="P54" s="2"/>
      <c r="Q54" s="2" t="s">
        <v>637</v>
      </c>
      <c r="R54" s="2"/>
      <c r="S54" s="2"/>
      <c r="AS54">
        <v>44</v>
      </c>
      <c r="AT54" t="s">
        <v>428</v>
      </c>
      <c r="AU54" t="s">
        <v>566</v>
      </c>
      <c r="AW54">
        <v>44</v>
      </c>
      <c r="AX54" t="s">
        <v>409</v>
      </c>
      <c r="AY54" t="s">
        <v>551</v>
      </c>
    </row>
    <row r="55" spans="1:51" x14ac:dyDescent="0.2">
      <c r="A55">
        <v>45</v>
      </c>
      <c r="B55">
        <v>45</v>
      </c>
      <c r="C55" t="s">
        <v>100</v>
      </c>
      <c r="D55" t="s">
        <v>101</v>
      </c>
      <c r="E55" t="s">
        <v>101</v>
      </c>
      <c r="F55" cm="1">
        <f t="array" ref="F55">_xlfn.XLOOKUP(_xlfn.XLOOKUP(tblTags[[#This Row],[Tag]],db_drift!$B$2:$B$259,db_drift!$D$2:$D$259),tblInputTypes[[#All],[InputTypeName]],tblInputTypes[[#All],[InputTypeID]],"")</f>
        <v>3</v>
      </c>
      <c r="G55">
        <v>8</v>
      </c>
      <c r="I55" t="str">
        <f>_xlfn.XLOOKUP(_xlfn.XLOOKUP(tblTags[[#This Row],[Tag]],db_drift!$B$2:$B$259,db_drift!$A$2:$A$259),tblDepartmentHeadings[DepartmentHeading],tblDepartmentHeadings[DepartmentHeadingID],"")</f>
        <v/>
      </c>
      <c r="J55">
        <v>7</v>
      </c>
      <c r="K55" t="str">
        <f>_xlfn.XLOOKUP(_xlfn.XLOOKUP(tblTags[[#This Row],[Tag]],db_drift!$B$2:$B$259,db_drift!$E$2:$E$259),tblFuelTypes[FuelType],tblFuelTypes[FuelTypeID],"")</f>
        <v/>
      </c>
      <c r="L55" t="str">
        <f>_xlfn.XLOOKUP(_xlfn.XLOOKUP(tblTags[[#This Row],[Tag]],db_drift!$B$2:$B$259,db_drift!$F$2:$F$259),tblFuelAllocations[FuelAllocation],tblFuelAllocations[FuelAllocationID],"")</f>
        <v/>
      </c>
      <c r="M55" t="str">
        <f>_xlfn.XLOOKUP(tblTags[[#This Row],[Tag]],tblHelpCalc1[Tag],tblHelpCalc1[Calc1ID],"")</f>
        <v/>
      </c>
      <c r="N55" t="str">
        <f>_xlfn.XLOOKUP(tblTags[[#This Row],[Tag]],tblHelpCalc2[Tag],tblHelpCalc2[Calc2ID],"")</f>
        <v/>
      </c>
      <c r="O55" s="2" t="str">
        <f>_xlfn.XLOOKUP(_xlfn.XLOOKUP(tblTags[[#This Row],[Tag]],tblDbDrift[Tag],tblDbDrift[Hide Tags]),tblHideTags[HideTag],tblHideTags[ID],"")</f>
        <v/>
      </c>
      <c r="P55" s="2"/>
      <c r="Q55" s="2" t="s">
        <v>638</v>
      </c>
      <c r="R55" s="2"/>
      <c r="S55" s="2"/>
      <c r="AS55">
        <v>45</v>
      </c>
      <c r="AT55" t="s">
        <v>258</v>
      </c>
      <c r="AU55" t="s">
        <v>569</v>
      </c>
      <c r="AW55">
        <v>45</v>
      </c>
      <c r="AX55" t="s">
        <v>410</v>
      </c>
      <c r="AY55" t="s">
        <v>553</v>
      </c>
    </row>
    <row r="56" spans="1:51" x14ac:dyDescent="0.2">
      <c r="A56">
        <v>46</v>
      </c>
      <c r="B56">
        <v>46</v>
      </c>
      <c r="C56" t="s">
        <v>102</v>
      </c>
      <c r="D56" t="s">
        <v>103</v>
      </c>
      <c r="E56" t="s">
        <v>103</v>
      </c>
      <c r="F56" cm="1">
        <f t="array" ref="F56">_xlfn.XLOOKUP(_xlfn.XLOOKUP(tblTags[[#This Row],[Tag]],db_drift!$B$2:$B$259,db_drift!$D$2:$D$259),tblInputTypes[[#All],[InputTypeName]],tblInputTypes[[#All],[InputTypeID]],"")</f>
        <v>1</v>
      </c>
      <c r="G56">
        <v>8</v>
      </c>
      <c r="I56" t="str">
        <f>_xlfn.XLOOKUP(_xlfn.XLOOKUP(tblTags[[#This Row],[Tag]],db_drift!$B$2:$B$259,db_drift!$A$2:$A$259),tblDepartmentHeadings[DepartmentHeading],tblDepartmentHeadings[DepartmentHeadingID],"")</f>
        <v/>
      </c>
      <c r="J56">
        <v>9</v>
      </c>
      <c r="K56" t="str">
        <f>_xlfn.XLOOKUP(_xlfn.XLOOKUP(tblTags[[#This Row],[Tag]],db_drift!$B$2:$B$259,db_drift!$E$2:$E$259),tblFuelTypes[FuelType],tblFuelTypes[FuelTypeID],"")</f>
        <v/>
      </c>
      <c r="L56" t="str">
        <f>_xlfn.XLOOKUP(_xlfn.XLOOKUP(tblTags[[#This Row],[Tag]],db_drift!$B$2:$B$259,db_drift!$F$2:$F$259),tblFuelAllocations[FuelAllocation],tblFuelAllocations[FuelAllocationID],"")</f>
        <v/>
      </c>
      <c r="M56" t="str">
        <f>_xlfn.XLOOKUP(tblTags[[#This Row],[Tag]],tblHelpCalc1[Tag],tblHelpCalc1[Calc1ID],"")</f>
        <v/>
      </c>
      <c r="N56" t="str">
        <f>_xlfn.XLOOKUP(tblTags[[#This Row],[Tag]],tblHelpCalc2[Tag],tblHelpCalc2[Calc2ID],"")</f>
        <v/>
      </c>
      <c r="O56" s="2" t="str">
        <f>_xlfn.XLOOKUP(_xlfn.XLOOKUP(tblTags[[#This Row],[Tag]],tblDbDrift[Tag],tblDbDrift[Hide Tags]),tblHideTags[HideTag],tblHideTags[ID],"")</f>
        <v/>
      </c>
      <c r="P56" s="2"/>
      <c r="Q56" s="2" t="s">
        <v>639</v>
      </c>
      <c r="R56" s="2"/>
      <c r="S56" s="2"/>
      <c r="AS56">
        <v>46</v>
      </c>
      <c r="AT56" t="s">
        <v>260</v>
      </c>
      <c r="AU56" t="s">
        <v>570</v>
      </c>
      <c r="AW56">
        <v>46</v>
      </c>
      <c r="AX56" t="s">
        <v>411</v>
      </c>
      <c r="AY56" t="s">
        <v>555</v>
      </c>
    </row>
    <row r="57" spans="1:51" x14ac:dyDescent="0.2">
      <c r="A57">
        <v>47</v>
      </c>
      <c r="B57">
        <v>47</v>
      </c>
      <c r="C57" t="s">
        <v>104</v>
      </c>
      <c r="D57" t="s">
        <v>105</v>
      </c>
      <c r="E57" t="s">
        <v>105</v>
      </c>
      <c r="F57" cm="1">
        <f t="array" ref="F57">_xlfn.XLOOKUP(_xlfn.XLOOKUP(tblTags[[#This Row],[Tag]],db_drift!$B$2:$B$259,db_drift!$D$2:$D$259),tblInputTypes[[#All],[InputTypeName]],tblInputTypes[[#All],[InputTypeID]],"")</f>
        <v>1</v>
      </c>
      <c r="G57">
        <v>8</v>
      </c>
      <c r="I57" t="str">
        <f>_xlfn.XLOOKUP(_xlfn.XLOOKUP(tblTags[[#This Row],[Tag]],db_drift!$B$2:$B$259,db_drift!$A$2:$A$259),tblDepartmentHeadings[DepartmentHeading],tblDepartmentHeadings[DepartmentHeadingID],"")</f>
        <v/>
      </c>
      <c r="J57">
        <v>9</v>
      </c>
      <c r="K57" t="str">
        <f>_xlfn.XLOOKUP(_xlfn.XLOOKUP(tblTags[[#This Row],[Tag]],db_drift!$B$2:$B$259,db_drift!$E$2:$E$259),tblFuelTypes[FuelType],tblFuelTypes[FuelTypeID],"")</f>
        <v/>
      </c>
      <c r="L57" t="str">
        <f>_xlfn.XLOOKUP(_xlfn.XLOOKUP(tblTags[[#This Row],[Tag]],db_drift!$B$2:$B$259,db_drift!$F$2:$F$259),tblFuelAllocations[FuelAllocation],tblFuelAllocations[FuelAllocationID],"")</f>
        <v/>
      </c>
      <c r="M57" t="str">
        <f>_xlfn.XLOOKUP(tblTags[[#This Row],[Tag]],tblHelpCalc1[Tag],tblHelpCalc1[Calc1ID],"")</f>
        <v/>
      </c>
      <c r="N57" t="str">
        <f>_xlfn.XLOOKUP(tblTags[[#This Row],[Tag]],tblHelpCalc2[Tag],tblHelpCalc2[Calc2ID],"")</f>
        <v/>
      </c>
      <c r="O57" s="2" t="str">
        <f>_xlfn.XLOOKUP(_xlfn.XLOOKUP(tblTags[[#This Row],[Tag]],tblDbDrift[Tag],tblDbDrift[Hide Tags]),tblHideTags[HideTag],tblHideTags[ID],"")</f>
        <v/>
      </c>
      <c r="P57" s="2"/>
      <c r="Q57" s="2" t="s">
        <v>640</v>
      </c>
      <c r="R57" s="2"/>
      <c r="S57" s="2"/>
      <c r="AS57">
        <v>47</v>
      </c>
      <c r="AT57" t="s">
        <v>272</v>
      </c>
      <c r="AU57" t="s">
        <v>571</v>
      </c>
      <c r="AW57">
        <v>47</v>
      </c>
      <c r="AX57" t="s">
        <v>412</v>
      </c>
      <c r="AY57" t="s">
        <v>557</v>
      </c>
    </row>
    <row r="58" spans="1:51" x14ac:dyDescent="0.2">
      <c r="A58">
        <v>48</v>
      </c>
      <c r="B58">
        <v>48</v>
      </c>
      <c r="C58" t="s">
        <v>106</v>
      </c>
      <c r="D58" t="s">
        <v>107</v>
      </c>
      <c r="E58" t="s">
        <v>107</v>
      </c>
      <c r="F58" cm="1">
        <f t="array" ref="F58">_xlfn.XLOOKUP(_xlfn.XLOOKUP(tblTags[[#This Row],[Tag]],db_drift!$B$2:$B$259,db_drift!$D$2:$D$259),tblInputTypes[[#All],[InputTypeName]],tblInputTypes[[#All],[InputTypeID]],"")</f>
        <v>1</v>
      </c>
      <c r="G58">
        <v>8</v>
      </c>
      <c r="I58" t="str">
        <f>_xlfn.XLOOKUP(_xlfn.XLOOKUP(tblTags[[#This Row],[Tag]],db_drift!$B$2:$B$259,db_drift!$A$2:$A$259),tblDepartmentHeadings[DepartmentHeading],tblDepartmentHeadings[DepartmentHeadingID],"")</f>
        <v/>
      </c>
      <c r="J58">
        <v>9</v>
      </c>
      <c r="K58" t="str">
        <f>_xlfn.XLOOKUP(_xlfn.XLOOKUP(tblTags[[#This Row],[Tag]],db_drift!$B$2:$B$259,db_drift!$E$2:$E$259),tblFuelTypes[FuelType],tblFuelTypes[FuelTypeID],"")</f>
        <v/>
      </c>
      <c r="L58" t="str">
        <f>_xlfn.XLOOKUP(_xlfn.XLOOKUP(tblTags[[#This Row],[Tag]],db_drift!$B$2:$B$259,db_drift!$F$2:$F$259),tblFuelAllocations[FuelAllocation],tblFuelAllocations[FuelAllocationID],"")</f>
        <v/>
      </c>
      <c r="M58" t="str">
        <f>_xlfn.XLOOKUP(tblTags[[#This Row],[Tag]],tblHelpCalc1[Tag],tblHelpCalc1[Calc1ID],"")</f>
        <v/>
      </c>
      <c r="N58" t="str">
        <f>_xlfn.XLOOKUP(tblTags[[#This Row],[Tag]],tblHelpCalc2[Tag],tblHelpCalc2[Calc2ID],"")</f>
        <v/>
      </c>
      <c r="O58" s="2" t="str">
        <f>_xlfn.XLOOKUP(_xlfn.XLOOKUP(tblTags[[#This Row],[Tag]],tblDbDrift[Tag],tblDbDrift[Hide Tags]),tblHideTags[HideTag],tblHideTags[ID],"")</f>
        <v/>
      </c>
      <c r="P58" s="2"/>
      <c r="Q58" s="2" t="s">
        <v>641</v>
      </c>
      <c r="R58" s="2"/>
      <c r="S58" s="2"/>
      <c r="AS58">
        <v>48</v>
      </c>
      <c r="AT58" t="s">
        <v>274</v>
      </c>
      <c r="AU58" t="s">
        <v>572</v>
      </c>
      <c r="AW58">
        <v>48</v>
      </c>
      <c r="AX58" t="s">
        <v>413</v>
      </c>
      <c r="AY58" t="s">
        <v>559</v>
      </c>
    </row>
    <row r="59" spans="1:51" x14ac:dyDescent="0.2">
      <c r="A59">
        <v>49</v>
      </c>
      <c r="B59">
        <v>49</v>
      </c>
      <c r="C59" t="s">
        <v>6</v>
      </c>
      <c r="F59" t="str" cm="1">
        <f t="array" ref="F59">_xlfn.XLOOKUP(_xlfn.XLOOKUP(tblTags[[#This Row],[Tag]],db_drift!$B$2:$B$259,db_drift!$D$2:$D$259),tblInputTypes[[#All],[InputTypeName]],tblInputTypes[[#All],[InputTypeID]],"")</f>
        <v/>
      </c>
      <c r="G59">
        <v>5</v>
      </c>
      <c r="H59">
        <v>6</v>
      </c>
      <c r="I59" t="str">
        <f>_xlfn.XLOOKUP(_xlfn.XLOOKUP(tblTags[[#This Row],[Tag]],db_drift!$B$2:$B$259,db_drift!$A$2:$A$259),tblDepartmentHeadings[DepartmentHeading],tblDepartmentHeadings[DepartmentHeadingID],"")</f>
        <v/>
      </c>
      <c r="K59" t="str">
        <f>_xlfn.XLOOKUP(_xlfn.XLOOKUP(tblTags[[#This Row],[Tag]],db_drift!$B$2:$B$259,db_drift!$E$2:$E$259),tblFuelTypes[FuelType],tblFuelTypes[FuelTypeID],"")</f>
        <v/>
      </c>
      <c r="L59" t="str">
        <f>_xlfn.XLOOKUP(_xlfn.XLOOKUP(tblTags[[#This Row],[Tag]],db_drift!$B$2:$B$259,db_drift!$F$2:$F$259),tblFuelAllocations[FuelAllocation],tblFuelAllocations[FuelAllocationID],"")</f>
        <v/>
      </c>
      <c r="M59" t="str">
        <f>_xlfn.XLOOKUP(tblTags[[#This Row],[Tag]],tblHelpCalc1[Tag],tblHelpCalc1[Calc1ID],"")</f>
        <v/>
      </c>
      <c r="N59" t="str">
        <f>_xlfn.XLOOKUP(tblTags[[#This Row],[Tag]],tblHelpCalc2[Tag],tblHelpCalc2[Calc2ID],"")</f>
        <v/>
      </c>
      <c r="O59" s="2" t="str">
        <f>_xlfn.XLOOKUP(_xlfn.XLOOKUP(tblTags[[#This Row],[Tag]],tblDbDrift[Tag],tblDbDrift[Hide Tags]),tblHideTags[HideTag],tblHideTags[ID],"")</f>
        <v/>
      </c>
      <c r="P59" s="2"/>
      <c r="Q59" s="2" t="s">
        <v>642</v>
      </c>
      <c r="R59" s="2"/>
      <c r="S59" s="2"/>
      <c r="AS59">
        <v>49</v>
      </c>
      <c r="AT59" t="s">
        <v>433</v>
      </c>
      <c r="AU59" t="s">
        <v>573</v>
      </c>
      <c r="AW59">
        <v>49</v>
      </c>
      <c r="AX59" t="s">
        <v>414</v>
      </c>
      <c r="AY59" t="s">
        <v>561</v>
      </c>
    </row>
    <row r="60" spans="1:51" x14ac:dyDescent="0.2">
      <c r="A60">
        <v>50</v>
      </c>
      <c r="B60">
        <v>50</v>
      </c>
      <c r="C60" t="s">
        <v>108</v>
      </c>
      <c r="D60" t="s">
        <v>109</v>
      </c>
      <c r="E60" t="s">
        <v>109</v>
      </c>
      <c r="F60" cm="1">
        <f t="array" ref="F60">_xlfn.XLOOKUP(_xlfn.XLOOKUP(tblTags[[#This Row],[Tag]],db_drift!$B$2:$B$259,db_drift!$D$2:$D$259),tblInputTypes[[#All],[InputTypeName]],tblInputTypes[[#All],[InputTypeID]],"")</f>
        <v>2</v>
      </c>
      <c r="G60">
        <v>5</v>
      </c>
      <c r="H60">
        <v>6</v>
      </c>
      <c r="I60">
        <f>_xlfn.XLOOKUP(_xlfn.XLOOKUP(tblTags[[#This Row],[Tag]],db_drift!$B$2:$B$259,db_drift!$A$2:$A$259),tblDepartmentHeadings[DepartmentHeading],tblDepartmentHeadings[DepartmentHeadingID],"")</f>
        <v>4</v>
      </c>
      <c r="J60">
        <v>9</v>
      </c>
      <c r="K60">
        <f>_xlfn.XLOOKUP(_xlfn.XLOOKUP(tblTags[[#This Row],[Tag]],db_drift!$B$2:$B$259,db_drift!$E$2:$E$259),tblFuelTypes[FuelType],tblFuelTypes[FuelTypeID],"")</f>
        <v>2</v>
      </c>
      <c r="L60">
        <f>_xlfn.XLOOKUP(_xlfn.XLOOKUP(tblTags[[#This Row],[Tag]],db_drift!$B$2:$B$259,db_drift!$F$2:$F$259),tblFuelAllocations[FuelAllocation],tblFuelAllocations[FuelAllocationID],"")</f>
        <v>1</v>
      </c>
      <c r="M60">
        <v>89</v>
      </c>
      <c r="N60" t="str">
        <f>_xlfn.XLOOKUP(tblTags[[#This Row],[Tag]],tblHelpCalc2[Tag],tblHelpCalc2[Calc2ID],"")</f>
        <v/>
      </c>
      <c r="O60" s="2" t="str">
        <f>_xlfn.XLOOKUP(_xlfn.XLOOKUP(tblTags[[#This Row],[Tag]],tblDbDrift[Tag],tblDbDrift[Hide Tags]),tblHideTags[HideTag],tblHideTags[ID],"")</f>
        <v/>
      </c>
      <c r="P60" s="2"/>
      <c r="Q60" s="2" t="s">
        <v>643</v>
      </c>
      <c r="R60" s="2"/>
      <c r="S60" s="2"/>
      <c r="AS60">
        <v>50</v>
      </c>
      <c r="AT60" t="s">
        <v>276</v>
      </c>
      <c r="AU60" t="s">
        <v>574</v>
      </c>
      <c r="AW60">
        <v>50</v>
      </c>
      <c r="AX60" t="s">
        <v>415</v>
      </c>
      <c r="AY60" t="s">
        <v>563</v>
      </c>
    </row>
    <row r="61" spans="1:51" x14ac:dyDescent="0.2">
      <c r="A61">
        <v>51</v>
      </c>
      <c r="B61">
        <v>51</v>
      </c>
      <c r="C61" t="s">
        <v>110</v>
      </c>
      <c r="D61" t="s">
        <v>111</v>
      </c>
      <c r="E61" t="s">
        <v>111</v>
      </c>
      <c r="F61" cm="1">
        <f t="array" ref="F61">_xlfn.XLOOKUP(_xlfn.XLOOKUP(tblTags[[#This Row],[Tag]],db_drift!$B$2:$B$259,db_drift!$D$2:$D$259),tblInputTypes[[#All],[InputTypeName]],tblInputTypes[[#All],[InputTypeID]],"")</f>
        <v>2</v>
      </c>
      <c r="G61">
        <v>5</v>
      </c>
      <c r="H61">
        <v>6</v>
      </c>
      <c r="I61" t="str">
        <f>_xlfn.XLOOKUP(_xlfn.XLOOKUP(tblTags[[#This Row],[Tag]],db_drift!$B$2:$B$259,db_drift!$A$2:$A$259),tblDepartmentHeadings[DepartmentHeading],tblDepartmentHeadings[DepartmentHeadingID],"")</f>
        <v/>
      </c>
      <c r="J61">
        <v>9</v>
      </c>
      <c r="K61">
        <f>_xlfn.XLOOKUP(_xlfn.XLOOKUP(tblTags[[#This Row],[Tag]],db_drift!$B$2:$B$259,db_drift!$E$2:$E$259),tblFuelTypes[FuelType],tblFuelTypes[FuelTypeID],"")</f>
        <v>1</v>
      </c>
      <c r="L61">
        <f>_xlfn.XLOOKUP(_xlfn.XLOOKUP(tblTags[[#This Row],[Tag]],db_drift!$B$2:$B$259,db_drift!$F$2:$F$259),tblFuelAllocations[FuelAllocation],tblFuelAllocations[FuelAllocationID],"")</f>
        <v>2</v>
      </c>
      <c r="M61">
        <v>90</v>
      </c>
      <c r="N61" t="str">
        <f>_xlfn.XLOOKUP(tblTags[[#This Row],[Tag]],tblHelpCalc2[Tag],tblHelpCalc2[Calc2ID],"")</f>
        <v/>
      </c>
      <c r="O61" s="2" t="str">
        <f>_xlfn.XLOOKUP(_xlfn.XLOOKUP(tblTags[[#This Row],[Tag]],tblDbDrift[Tag],tblDbDrift[Hide Tags]),tblHideTags[HideTag],tblHideTags[ID],"")</f>
        <v/>
      </c>
      <c r="P61" s="2"/>
      <c r="Q61" s="2" t="s">
        <v>644</v>
      </c>
      <c r="R61" s="2"/>
      <c r="S61" s="2"/>
      <c r="AS61">
        <v>51</v>
      </c>
      <c r="AT61" t="s">
        <v>437</v>
      </c>
      <c r="AU61" t="s">
        <v>576</v>
      </c>
      <c r="AW61">
        <v>51</v>
      </c>
      <c r="AX61" t="s">
        <v>416</v>
      </c>
      <c r="AY61" t="s">
        <v>565</v>
      </c>
    </row>
    <row r="62" spans="1:51" x14ac:dyDescent="0.2">
      <c r="A62">
        <v>52</v>
      </c>
      <c r="B62">
        <v>52</v>
      </c>
      <c r="C62" t="s">
        <v>112</v>
      </c>
      <c r="D62" t="s">
        <v>113</v>
      </c>
      <c r="E62" t="s">
        <v>113</v>
      </c>
      <c r="F62" cm="1">
        <f t="array" ref="F62">_xlfn.XLOOKUP(_xlfn.XLOOKUP(tblTags[[#This Row],[Tag]],db_drift!$B$2:$B$259,db_drift!$D$2:$D$259),tblInputTypes[[#All],[InputTypeName]],tblInputTypes[[#All],[InputTypeID]],"")</f>
        <v>2</v>
      </c>
      <c r="G62">
        <v>5</v>
      </c>
      <c r="H62">
        <v>6</v>
      </c>
      <c r="I62" t="str">
        <f>_xlfn.XLOOKUP(_xlfn.XLOOKUP(tblTags[[#This Row],[Tag]],db_drift!$B$2:$B$259,db_drift!$A$2:$A$259),tblDepartmentHeadings[DepartmentHeading],tblDepartmentHeadings[DepartmentHeadingID],"")</f>
        <v/>
      </c>
      <c r="J62">
        <v>9</v>
      </c>
      <c r="K62">
        <f>_xlfn.XLOOKUP(_xlfn.XLOOKUP(tblTags[[#This Row],[Tag]],db_drift!$B$2:$B$259,db_drift!$E$2:$E$259),tblFuelTypes[FuelType],tblFuelTypes[FuelTypeID],"")</f>
        <v>1</v>
      </c>
      <c r="L62">
        <f>_xlfn.XLOOKUP(_xlfn.XLOOKUP(tblTags[[#This Row],[Tag]],db_drift!$B$2:$B$259,db_drift!$F$2:$F$259),tblFuelAllocations[FuelAllocation],tblFuelAllocations[FuelAllocationID],"")</f>
        <v>1</v>
      </c>
      <c r="M62">
        <v>91</v>
      </c>
      <c r="N62" t="str">
        <f>_xlfn.XLOOKUP(tblTags[[#This Row],[Tag]],tblHelpCalc2[Tag],tblHelpCalc2[Calc2ID],"")</f>
        <v/>
      </c>
      <c r="O62" s="2" t="str">
        <f>_xlfn.XLOOKUP(_xlfn.XLOOKUP(tblTags[[#This Row],[Tag]],tblDbDrift[Tag],tblDbDrift[Hide Tags]),tblHideTags[HideTag],tblHideTags[ID],"")</f>
        <v/>
      </c>
      <c r="P62" s="2"/>
      <c r="Q62" s="2" t="s">
        <v>645</v>
      </c>
      <c r="R62" s="2"/>
      <c r="S62" s="2"/>
      <c r="AS62">
        <v>52</v>
      </c>
      <c r="AT62" t="s">
        <v>439</v>
      </c>
      <c r="AU62" t="s">
        <v>577</v>
      </c>
      <c r="AW62">
        <v>52</v>
      </c>
      <c r="AX62" t="s">
        <v>417</v>
      </c>
      <c r="AY62" t="s">
        <v>567</v>
      </c>
    </row>
    <row r="63" spans="1:51" x14ac:dyDescent="0.2">
      <c r="A63">
        <v>53</v>
      </c>
      <c r="B63">
        <v>53</v>
      </c>
      <c r="C63" t="s">
        <v>114</v>
      </c>
      <c r="D63" t="s">
        <v>115</v>
      </c>
      <c r="E63" t="s">
        <v>115</v>
      </c>
      <c r="F63" cm="1">
        <f t="array" ref="F63">_xlfn.XLOOKUP(_xlfn.XLOOKUP(tblTags[[#This Row],[Tag]],db_drift!$B$2:$B$259,db_drift!$D$2:$D$259),tblInputTypes[[#All],[InputTypeName]],tblInputTypes[[#All],[InputTypeID]],"")</f>
        <v>2</v>
      </c>
      <c r="G63">
        <v>5</v>
      </c>
      <c r="H63">
        <v>6</v>
      </c>
      <c r="I63" t="str">
        <f>_xlfn.XLOOKUP(_xlfn.XLOOKUP(tblTags[[#This Row],[Tag]],db_drift!$B$2:$B$259,db_drift!$A$2:$A$259),tblDepartmentHeadings[DepartmentHeading],tblDepartmentHeadings[DepartmentHeadingID],"")</f>
        <v/>
      </c>
      <c r="J63">
        <v>9</v>
      </c>
      <c r="K63">
        <f>_xlfn.XLOOKUP(_xlfn.XLOOKUP(tblTags[[#This Row],[Tag]],db_drift!$B$2:$B$259,db_drift!$E$2:$E$259),tblFuelTypes[FuelType],tblFuelTypes[FuelTypeID],"")</f>
        <v>2</v>
      </c>
      <c r="L63">
        <f>_xlfn.XLOOKUP(_xlfn.XLOOKUP(tblTags[[#This Row],[Tag]],db_drift!$B$2:$B$259,db_drift!$F$2:$F$259),tblFuelAllocations[FuelAllocation],tblFuelAllocations[FuelAllocationID],"")</f>
        <v>2</v>
      </c>
      <c r="M63">
        <v>92</v>
      </c>
      <c r="N63" t="str">
        <f>_xlfn.XLOOKUP(tblTags[[#This Row],[Tag]],tblHelpCalc2[Tag],tblHelpCalc2[Calc2ID],"")</f>
        <v/>
      </c>
      <c r="O63" s="2" t="str">
        <f>_xlfn.XLOOKUP(_xlfn.XLOOKUP(tblTags[[#This Row],[Tag]],tblDbDrift[Tag],tblDbDrift[Hide Tags]),tblHideTags[HideTag],tblHideTags[ID],"")</f>
        <v/>
      </c>
      <c r="P63" s="2"/>
      <c r="Q63" s="2" t="s">
        <v>646</v>
      </c>
      <c r="R63" s="2"/>
      <c r="S63" s="2"/>
      <c r="AS63">
        <v>53</v>
      </c>
      <c r="AT63" t="s">
        <v>441</v>
      </c>
      <c r="AU63" t="s">
        <v>578</v>
      </c>
      <c r="AW63">
        <v>53</v>
      </c>
      <c r="AX63" t="s">
        <v>418</v>
      </c>
      <c r="AY63" t="s">
        <v>547</v>
      </c>
    </row>
    <row r="64" spans="1:51" x14ac:dyDescent="0.2">
      <c r="A64">
        <v>54</v>
      </c>
      <c r="B64">
        <v>54</v>
      </c>
      <c r="C64" t="s">
        <v>116</v>
      </c>
      <c r="D64" t="s">
        <v>117</v>
      </c>
      <c r="E64" t="s">
        <v>117</v>
      </c>
      <c r="F64" cm="1">
        <f t="array" ref="F64">_xlfn.XLOOKUP(_xlfn.XLOOKUP(tblTags[[#This Row],[Tag]],db_drift!$B$2:$B$259,db_drift!$D$2:$D$259),tblInputTypes[[#All],[InputTypeName]],tblInputTypes[[#All],[InputTypeID]],"")</f>
        <v>2</v>
      </c>
      <c r="G64">
        <v>5</v>
      </c>
      <c r="H64">
        <v>6</v>
      </c>
      <c r="I64" t="str">
        <f>_xlfn.XLOOKUP(_xlfn.XLOOKUP(tblTags[[#This Row],[Tag]],db_drift!$B$2:$B$259,db_drift!$A$2:$A$259),tblDepartmentHeadings[DepartmentHeading],tblDepartmentHeadings[DepartmentHeadingID],"")</f>
        <v/>
      </c>
      <c r="J64">
        <v>9</v>
      </c>
      <c r="K64">
        <f>_xlfn.XLOOKUP(_xlfn.XLOOKUP(tblTags[[#This Row],[Tag]],db_drift!$B$2:$B$259,db_drift!$E$2:$E$259),tblFuelTypes[FuelType],tblFuelTypes[FuelTypeID],"")</f>
        <v>2</v>
      </c>
      <c r="L64">
        <f>_xlfn.XLOOKUP(_xlfn.XLOOKUP(tblTags[[#This Row],[Tag]],db_drift!$B$2:$B$259,db_drift!$F$2:$F$259),tblFuelAllocations[FuelAllocation],tblFuelAllocations[FuelAllocationID],"")</f>
        <v>2</v>
      </c>
      <c r="M64">
        <v>93</v>
      </c>
      <c r="N64" t="str">
        <f>_xlfn.XLOOKUP(tblTags[[#This Row],[Tag]],tblHelpCalc2[Tag],tblHelpCalc2[Calc2ID],"")</f>
        <v/>
      </c>
      <c r="O64" s="2" t="str">
        <f>_xlfn.XLOOKUP(_xlfn.XLOOKUP(tblTags[[#This Row],[Tag]],tblDbDrift[Tag],tblDbDrift[Hide Tags]),tblHideTags[HideTag],tblHideTags[ID],"")</f>
        <v/>
      </c>
      <c r="P64" s="2"/>
      <c r="Q64" s="2" t="s">
        <v>647</v>
      </c>
      <c r="R64" s="2"/>
      <c r="S64" s="2"/>
      <c r="AS64">
        <v>54</v>
      </c>
      <c r="AT64" t="s">
        <v>443</v>
      </c>
      <c r="AU64" t="s">
        <v>579</v>
      </c>
      <c r="AW64">
        <v>54</v>
      </c>
      <c r="AX64" t="s">
        <v>419</v>
      </c>
      <c r="AY64" t="s">
        <v>549</v>
      </c>
    </row>
    <row r="65" spans="1:51" x14ac:dyDescent="0.2">
      <c r="A65">
        <v>55</v>
      </c>
      <c r="B65">
        <v>55</v>
      </c>
      <c r="C65" t="s">
        <v>118</v>
      </c>
      <c r="D65" t="s">
        <v>119</v>
      </c>
      <c r="E65" t="s">
        <v>119</v>
      </c>
      <c r="F65" cm="1">
        <f t="array" ref="F65">_xlfn.XLOOKUP(_xlfn.XLOOKUP(tblTags[[#This Row],[Tag]],db_drift!$B$2:$B$259,db_drift!$D$2:$D$259),tblInputTypes[[#All],[InputTypeName]],tblInputTypes[[#All],[InputTypeID]],"")</f>
        <v>2</v>
      </c>
      <c r="G65">
        <v>5</v>
      </c>
      <c r="H65">
        <v>6</v>
      </c>
      <c r="I65" t="str">
        <f>_xlfn.XLOOKUP(_xlfn.XLOOKUP(tblTags[[#This Row],[Tag]],db_drift!$B$2:$B$259,db_drift!$A$2:$A$259),tblDepartmentHeadings[DepartmentHeading],tblDepartmentHeadings[DepartmentHeadingID],"")</f>
        <v/>
      </c>
      <c r="J65">
        <v>9</v>
      </c>
      <c r="K65">
        <f>_xlfn.XLOOKUP(_xlfn.XLOOKUP(tblTags[[#This Row],[Tag]],db_drift!$B$2:$B$259,db_drift!$E$2:$E$259),tblFuelTypes[FuelType],tblFuelTypes[FuelTypeID],"")</f>
        <v>2</v>
      </c>
      <c r="L65">
        <f>_xlfn.XLOOKUP(_xlfn.XLOOKUP(tblTags[[#This Row],[Tag]],db_drift!$B$2:$B$259,db_drift!$F$2:$F$259),tblFuelAllocations[FuelAllocation],tblFuelAllocations[FuelAllocationID],"")</f>
        <v>2</v>
      </c>
      <c r="M65">
        <v>94</v>
      </c>
      <c r="N65" t="str">
        <f>_xlfn.XLOOKUP(tblTags[[#This Row],[Tag]],tblHelpCalc2[Tag],tblHelpCalc2[Calc2ID],"")</f>
        <v/>
      </c>
      <c r="O65" s="2" t="str">
        <f>_xlfn.XLOOKUP(_xlfn.XLOOKUP(tblTags[[#This Row],[Tag]],tblDbDrift[Tag],tblDbDrift[Hide Tags]),tblHideTags[HideTag],tblHideTags[ID],"")</f>
        <v/>
      </c>
      <c r="P65" s="2"/>
      <c r="Q65" s="2" t="s">
        <v>648</v>
      </c>
      <c r="R65" s="2"/>
      <c r="S65" s="2"/>
      <c r="AS65">
        <v>55</v>
      </c>
      <c r="AT65" t="s">
        <v>449</v>
      </c>
      <c r="AU65" t="s">
        <v>106</v>
      </c>
      <c r="AW65">
        <v>55</v>
      </c>
      <c r="AX65" t="s">
        <v>420</v>
      </c>
      <c r="AY65" t="s">
        <v>551</v>
      </c>
    </row>
    <row r="66" spans="1:51" x14ac:dyDescent="0.2">
      <c r="A66">
        <v>56</v>
      </c>
      <c r="B66">
        <v>56</v>
      </c>
      <c r="C66" t="s">
        <v>120</v>
      </c>
      <c r="D66" t="s">
        <v>121</v>
      </c>
      <c r="E66" t="s">
        <v>121</v>
      </c>
      <c r="F66" cm="1">
        <f t="array" ref="F66">_xlfn.XLOOKUP(_xlfn.XLOOKUP(tblTags[[#This Row],[Tag]],db_drift!$B$2:$B$259,db_drift!$D$2:$D$259),tblInputTypes[[#All],[InputTypeName]],tblInputTypes[[#All],[InputTypeID]],"")</f>
        <v>2</v>
      </c>
      <c r="G66">
        <v>5</v>
      </c>
      <c r="H66">
        <v>6</v>
      </c>
      <c r="I66" t="str">
        <f>_xlfn.XLOOKUP(_xlfn.XLOOKUP(tblTags[[#This Row],[Tag]],db_drift!$B$2:$B$259,db_drift!$A$2:$A$259),tblDepartmentHeadings[DepartmentHeading],tblDepartmentHeadings[DepartmentHeadingID],"")</f>
        <v/>
      </c>
      <c r="J66">
        <v>9</v>
      </c>
      <c r="K66">
        <f>_xlfn.XLOOKUP(_xlfn.XLOOKUP(tblTags[[#This Row],[Tag]],db_drift!$B$2:$B$259,db_drift!$E$2:$E$259),tblFuelTypes[FuelType],tblFuelTypes[FuelTypeID],"")</f>
        <v>2</v>
      </c>
      <c r="L66">
        <f>_xlfn.XLOOKUP(_xlfn.XLOOKUP(tblTags[[#This Row],[Tag]],db_drift!$B$2:$B$259,db_drift!$F$2:$F$259),tblFuelAllocations[FuelAllocation],tblFuelAllocations[FuelAllocationID],"")</f>
        <v>2</v>
      </c>
      <c r="M66">
        <v>95</v>
      </c>
      <c r="N66" t="str">
        <f>_xlfn.XLOOKUP(tblTags[[#This Row],[Tag]],tblHelpCalc2[Tag],tblHelpCalc2[Calc2ID],"")</f>
        <v/>
      </c>
      <c r="O66" s="2" t="str">
        <f>_xlfn.XLOOKUP(_xlfn.XLOOKUP(tblTags[[#This Row],[Tag]],tblDbDrift[Tag],tblDbDrift[Hide Tags]),tblHideTags[HideTag],tblHideTags[ID],"")</f>
        <v/>
      </c>
      <c r="P66" s="2"/>
      <c r="Q66" s="2" t="s">
        <v>649</v>
      </c>
      <c r="R66" s="2"/>
      <c r="S66" s="2"/>
      <c r="AS66">
        <v>56</v>
      </c>
      <c r="AT66" t="s">
        <v>451</v>
      </c>
      <c r="AU66" t="s">
        <v>492</v>
      </c>
      <c r="AW66">
        <v>56</v>
      </c>
      <c r="AX66" t="s">
        <v>421</v>
      </c>
      <c r="AY66" t="s">
        <v>553</v>
      </c>
    </row>
    <row r="67" spans="1:51" x14ac:dyDescent="0.2">
      <c r="A67">
        <v>57</v>
      </c>
      <c r="B67">
        <v>57</v>
      </c>
      <c r="C67" t="s">
        <v>122</v>
      </c>
      <c r="D67" t="s">
        <v>123</v>
      </c>
      <c r="E67" t="s">
        <v>123</v>
      </c>
      <c r="F67" cm="1">
        <f t="array" ref="F67">_xlfn.XLOOKUP(_xlfn.XLOOKUP(tblTags[[#This Row],[Tag]],db_drift!$B$2:$B$259,db_drift!$D$2:$D$259),tblInputTypes[[#All],[InputTypeName]],tblInputTypes[[#All],[InputTypeID]],"")</f>
        <v>2</v>
      </c>
      <c r="G67">
        <v>5</v>
      </c>
      <c r="H67">
        <v>6</v>
      </c>
      <c r="I67" t="str">
        <f>_xlfn.XLOOKUP(_xlfn.XLOOKUP(tblTags[[#This Row],[Tag]],db_drift!$B$2:$B$259,db_drift!$A$2:$A$259),tblDepartmentHeadings[DepartmentHeading],tblDepartmentHeadings[DepartmentHeadingID],"")</f>
        <v/>
      </c>
      <c r="J67">
        <v>9</v>
      </c>
      <c r="K67">
        <f>_xlfn.XLOOKUP(_xlfn.XLOOKUP(tblTags[[#This Row],[Tag]],db_drift!$B$2:$B$259,db_drift!$E$2:$E$259),tblFuelTypes[FuelType],tblFuelTypes[FuelTypeID],"")</f>
        <v>2</v>
      </c>
      <c r="L67">
        <f>_xlfn.XLOOKUP(_xlfn.XLOOKUP(tblTags[[#This Row],[Tag]],db_drift!$B$2:$B$259,db_drift!$F$2:$F$259),tblFuelAllocations[FuelAllocation],tblFuelAllocations[FuelAllocationID],"")</f>
        <v>2</v>
      </c>
      <c r="M67">
        <v>96</v>
      </c>
      <c r="N67" t="str">
        <f>_xlfn.XLOOKUP(tblTags[[#This Row],[Tag]],tblHelpCalc2[Tag],tblHelpCalc2[Calc2ID],"")</f>
        <v/>
      </c>
      <c r="O67" s="2" t="str">
        <f>_xlfn.XLOOKUP(_xlfn.XLOOKUP(tblTags[[#This Row],[Tag]],tblDbDrift[Tag],tblDbDrift[Hide Tags]),tblHideTags[HideTag],tblHideTags[ID],"")</f>
        <v/>
      </c>
      <c r="P67" s="2"/>
      <c r="Q67" s="2" t="s">
        <v>650</v>
      </c>
      <c r="R67" s="2"/>
      <c r="S67" s="2"/>
      <c r="AS67">
        <v>57</v>
      </c>
      <c r="AT67" t="s">
        <v>277</v>
      </c>
      <c r="AU67" t="s">
        <v>132</v>
      </c>
      <c r="AW67">
        <v>57</v>
      </c>
      <c r="AX67" t="s">
        <v>422</v>
      </c>
      <c r="AY67" t="s">
        <v>555</v>
      </c>
    </row>
    <row r="68" spans="1:51" x14ac:dyDescent="0.2">
      <c r="A68">
        <v>58</v>
      </c>
      <c r="B68">
        <v>58</v>
      </c>
      <c r="C68" t="s">
        <v>124</v>
      </c>
      <c r="D68" t="s">
        <v>125</v>
      </c>
      <c r="E68" t="s">
        <v>125</v>
      </c>
      <c r="F68" cm="1">
        <f t="array" ref="F68">_xlfn.XLOOKUP(_xlfn.XLOOKUP(tblTags[[#This Row],[Tag]],db_drift!$B$2:$B$259,db_drift!$D$2:$D$259),tblInputTypes[[#All],[InputTypeName]],tblInputTypes[[#All],[InputTypeID]],"")</f>
        <v>2</v>
      </c>
      <c r="G68">
        <v>5</v>
      </c>
      <c r="H68">
        <v>6</v>
      </c>
      <c r="I68" t="str">
        <f>_xlfn.XLOOKUP(_xlfn.XLOOKUP(tblTags[[#This Row],[Tag]],db_drift!$B$2:$B$259,db_drift!$A$2:$A$259),tblDepartmentHeadings[DepartmentHeading],tblDepartmentHeadings[DepartmentHeadingID],"")</f>
        <v/>
      </c>
      <c r="J68">
        <v>9</v>
      </c>
      <c r="K68">
        <f>_xlfn.XLOOKUP(_xlfn.XLOOKUP(tblTags[[#This Row],[Tag]],db_drift!$B$2:$B$259,db_drift!$E$2:$E$259),tblFuelTypes[FuelType],tblFuelTypes[FuelTypeID],"")</f>
        <v>1</v>
      </c>
      <c r="L68">
        <f>_xlfn.XLOOKUP(_xlfn.XLOOKUP(tblTags[[#This Row],[Tag]],db_drift!$B$2:$B$259,db_drift!$F$2:$F$259),tblFuelAllocations[FuelAllocation],tblFuelAllocations[FuelAllocationID],"")</f>
        <v>1</v>
      </c>
      <c r="M68">
        <v>97</v>
      </c>
      <c r="N68" t="str">
        <f>_xlfn.XLOOKUP(tblTags[[#This Row],[Tag]],tblHelpCalc2[Tag],tblHelpCalc2[Calc2ID],"")</f>
        <v/>
      </c>
      <c r="O68" s="2" t="str">
        <f>_xlfn.XLOOKUP(_xlfn.XLOOKUP(tblTags[[#This Row],[Tag]],tblDbDrift[Tag],tblDbDrift[Hide Tags]),tblHideTags[HideTag],tblHideTags[ID],"")</f>
        <v/>
      </c>
      <c r="P68" s="2"/>
      <c r="Q68" s="2" t="s">
        <v>651</v>
      </c>
      <c r="R68" s="2"/>
      <c r="S68" s="2"/>
      <c r="AS68">
        <v>58</v>
      </c>
      <c r="AT68" t="s">
        <v>278</v>
      </c>
      <c r="AU68" t="s">
        <v>510</v>
      </c>
      <c r="AW68">
        <v>58</v>
      </c>
      <c r="AX68" t="s">
        <v>423</v>
      </c>
      <c r="AY68" t="s">
        <v>557</v>
      </c>
    </row>
    <row r="69" spans="1:51" x14ac:dyDescent="0.2">
      <c r="A69">
        <v>59</v>
      </c>
      <c r="B69">
        <v>59</v>
      </c>
      <c r="C69" t="s">
        <v>126</v>
      </c>
      <c r="D69" t="s">
        <v>127</v>
      </c>
      <c r="E69" t="s">
        <v>127</v>
      </c>
      <c r="F69" cm="1">
        <f t="array" ref="F69">_xlfn.XLOOKUP(_xlfn.XLOOKUP(tblTags[[#This Row],[Tag]],db_drift!$B$2:$B$259,db_drift!$D$2:$D$259),tblInputTypes[[#All],[InputTypeName]],tblInputTypes[[#All],[InputTypeID]],"")</f>
        <v>2</v>
      </c>
      <c r="G69">
        <v>5</v>
      </c>
      <c r="H69">
        <v>6</v>
      </c>
      <c r="I69" t="str">
        <f>_xlfn.XLOOKUP(_xlfn.XLOOKUP(tblTags[[#This Row],[Tag]],db_drift!$B$2:$B$259,db_drift!$A$2:$A$259),tblDepartmentHeadings[DepartmentHeading],tblDepartmentHeadings[DepartmentHeadingID],"")</f>
        <v/>
      </c>
      <c r="J69">
        <v>9</v>
      </c>
      <c r="K69">
        <f>_xlfn.XLOOKUP(_xlfn.XLOOKUP(tblTags[[#This Row],[Tag]],db_drift!$B$2:$B$259,db_drift!$E$2:$E$259),tblFuelTypes[FuelType],tblFuelTypes[FuelTypeID],"")</f>
        <v>2</v>
      </c>
      <c r="L69">
        <f>_xlfn.XLOOKUP(_xlfn.XLOOKUP(tblTags[[#This Row],[Tag]],db_drift!$B$2:$B$259,db_drift!$F$2:$F$259),tblFuelAllocations[FuelAllocation],tblFuelAllocations[FuelAllocationID],"")</f>
        <v>2</v>
      </c>
      <c r="M69">
        <v>98</v>
      </c>
      <c r="N69" t="str">
        <f>_xlfn.XLOOKUP(tblTags[[#This Row],[Tag]],tblHelpCalc2[Tag],tblHelpCalc2[Calc2ID],"")</f>
        <v/>
      </c>
      <c r="O69" s="2" t="str">
        <f>_xlfn.XLOOKUP(_xlfn.XLOOKUP(tblTags[[#This Row],[Tag]],tblDbDrift[Tag],tblDbDrift[Hide Tags]),tblHideTags[HideTag],tblHideTags[ID],"")</f>
        <v/>
      </c>
      <c r="P69" s="2"/>
      <c r="Q69" s="2" t="s">
        <v>652</v>
      </c>
      <c r="R69" s="2"/>
      <c r="S69" s="2"/>
      <c r="AS69">
        <v>59</v>
      </c>
      <c r="AT69" t="s">
        <v>281</v>
      </c>
      <c r="AU69" t="s">
        <v>147</v>
      </c>
      <c r="AW69">
        <v>59</v>
      </c>
      <c r="AX69" t="s">
        <v>424</v>
      </c>
      <c r="AY69" t="s">
        <v>559</v>
      </c>
    </row>
    <row r="70" spans="1:51" x14ac:dyDescent="0.2">
      <c r="A70">
        <v>60</v>
      </c>
      <c r="B70">
        <v>60</v>
      </c>
      <c r="C70" t="s">
        <v>128</v>
      </c>
      <c r="D70" t="s">
        <v>129</v>
      </c>
      <c r="E70" t="s">
        <v>129</v>
      </c>
      <c r="F70" cm="1">
        <f t="array" ref="F70">_xlfn.XLOOKUP(_xlfn.XLOOKUP(tblTags[[#This Row],[Tag]],db_drift!$B$2:$B$259,db_drift!$D$2:$D$259),tblInputTypes[[#All],[InputTypeName]],tblInputTypes[[#All],[InputTypeID]],"")</f>
        <v>2</v>
      </c>
      <c r="G70">
        <v>5</v>
      </c>
      <c r="H70">
        <v>6</v>
      </c>
      <c r="I70" t="str">
        <f>_xlfn.XLOOKUP(_xlfn.XLOOKUP(tblTags[[#This Row],[Tag]],db_drift!$B$2:$B$259,db_drift!$A$2:$A$259),tblDepartmentHeadings[DepartmentHeading],tblDepartmentHeadings[DepartmentHeadingID],"")</f>
        <v/>
      </c>
      <c r="J70">
        <v>9</v>
      </c>
      <c r="K70">
        <f>_xlfn.XLOOKUP(_xlfn.XLOOKUP(tblTags[[#This Row],[Tag]],db_drift!$B$2:$B$259,db_drift!$E$2:$E$259),tblFuelTypes[FuelType],tblFuelTypes[FuelTypeID],"")</f>
        <v>2</v>
      </c>
      <c r="L70">
        <f>_xlfn.XLOOKUP(_xlfn.XLOOKUP(tblTags[[#This Row],[Tag]],db_drift!$B$2:$B$259,db_drift!$F$2:$F$259),tblFuelAllocations[FuelAllocation],tblFuelAllocations[FuelAllocationID],"")</f>
        <v>1</v>
      </c>
      <c r="M70">
        <v>99</v>
      </c>
      <c r="N70" t="str">
        <f>_xlfn.XLOOKUP(tblTags[[#This Row],[Tag]],tblHelpCalc2[Tag],tblHelpCalc2[Calc2ID],"")</f>
        <v/>
      </c>
      <c r="O70" s="2" t="str">
        <f>_xlfn.XLOOKUP(_xlfn.XLOOKUP(tblTags[[#This Row],[Tag]],tblDbDrift[Tag],tblDbDrift[Hide Tags]),tblHideTags[HideTag],tblHideTags[ID],"")</f>
        <v/>
      </c>
      <c r="P70" s="2"/>
      <c r="Q70" s="2" t="s">
        <v>653</v>
      </c>
      <c r="R70" s="2"/>
      <c r="S70" s="2"/>
      <c r="AS70">
        <v>60</v>
      </c>
      <c r="AT70" t="s">
        <v>282</v>
      </c>
      <c r="AU70" t="s">
        <v>581</v>
      </c>
      <c r="AW70">
        <v>60</v>
      </c>
      <c r="AX70" t="s">
        <v>425</v>
      </c>
      <c r="AY70" t="s">
        <v>561</v>
      </c>
    </row>
    <row r="71" spans="1:51" x14ac:dyDescent="0.2">
      <c r="A71">
        <v>61</v>
      </c>
      <c r="B71">
        <v>61</v>
      </c>
      <c r="C71" t="s">
        <v>5</v>
      </c>
      <c r="F71" t="str" cm="1">
        <f t="array" ref="F71">_xlfn.XLOOKUP(_xlfn.XLOOKUP(tblTags[[#This Row],[Tag]],db_drift!$B$2:$B$259,db_drift!$D$2:$D$259),tblInputTypes[[#All],[InputTypeName]],tblInputTypes[[#All],[InputTypeID]],"")</f>
        <v/>
      </c>
      <c r="G71">
        <v>4</v>
      </c>
      <c r="H71">
        <v>6</v>
      </c>
      <c r="I71" t="str">
        <f>_xlfn.XLOOKUP(_xlfn.XLOOKUP(tblTags[[#This Row],[Tag]],db_drift!$B$2:$B$259,db_drift!$A$2:$A$259),tblDepartmentHeadings[DepartmentHeading],tblDepartmentHeadings[DepartmentHeadingID],"")</f>
        <v/>
      </c>
      <c r="K71" t="str">
        <f>_xlfn.XLOOKUP(_xlfn.XLOOKUP(tblTags[[#This Row],[Tag]],db_drift!$B$2:$B$259,db_drift!$E$2:$E$259),tblFuelTypes[FuelType],tblFuelTypes[FuelTypeID],"")</f>
        <v/>
      </c>
      <c r="L71" t="str">
        <f>_xlfn.XLOOKUP(_xlfn.XLOOKUP(tblTags[[#This Row],[Tag]],db_drift!$B$2:$B$259,db_drift!$F$2:$F$259),tblFuelAllocations[FuelAllocation],tblFuelAllocations[FuelAllocationID],"")</f>
        <v/>
      </c>
      <c r="M71" t="str">
        <f>_xlfn.XLOOKUP(tblTags[[#This Row],[Tag]],tblHelpCalc1[Tag],tblHelpCalc1[Calc1ID],"")</f>
        <v/>
      </c>
      <c r="N71" t="str">
        <f>_xlfn.XLOOKUP(tblTags[[#This Row],[Tag]],tblHelpCalc2[Tag],tblHelpCalc2[Calc2ID],"")</f>
        <v/>
      </c>
      <c r="O71" s="2" t="str">
        <f>_xlfn.XLOOKUP(_xlfn.XLOOKUP(tblTags[[#This Row],[Tag]],tblDbDrift[Tag],tblDbDrift[Hide Tags]),tblHideTags[HideTag],tblHideTags[ID],"")</f>
        <v/>
      </c>
      <c r="P71" s="2"/>
      <c r="Q71" s="2" t="s">
        <v>508</v>
      </c>
      <c r="R71" s="2"/>
      <c r="S71" s="2"/>
      <c r="AS71">
        <v>61</v>
      </c>
      <c r="AT71" t="s">
        <v>283</v>
      </c>
      <c r="AU71" t="s">
        <v>137</v>
      </c>
      <c r="AW71">
        <v>61</v>
      </c>
      <c r="AX71" t="s">
        <v>426</v>
      </c>
      <c r="AY71" t="s">
        <v>563</v>
      </c>
    </row>
    <row r="72" spans="1:51" x14ac:dyDescent="0.2">
      <c r="A72">
        <v>62</v>
      </c>
      <c r="B72">
        <v>62</v>
      </c>
      <c r="C72" t="s">
        <v>130</v>
      </c>
      <c r="D72" t="s">
        <v>389</v>
      </c>
      <c r="E72" t="s">
        <v>389</v>
      </c>
      <c r="F72" cm="1">
        <f t="array" ref="F72">_xlfn.XLOOKUP(_xlfn.XLOOKUP(tblTags[[#This Row],[Tag]],db_drift!$B$2:$B$259,db_drift!$D$2:$D$259),tblInputTypes[[#All],[InputTypeName]],tblInputTypes[[#All],[InputTypeID]],"")</f>
        <v>2</v>
      </c>
      <c r="G72">
        <v>4</v>
      </c>
      <c r="H72">
        <v>6</v>
      </c>
      <c r="I72">
        <f>_xlfn.XLOOKUP(_xlfn.XLOOKUP(tblTags[[#This Row],[Tag]],db_drift!$B$2:$B$259,db_drift!$A$2:$A$259),tblDepartmentHeadings[DepartmentHeading],tblDepartmentHeadings[DepartmentHeadingID],"")</f>
        <v>5</v>
      </c>
      <c r="J72">
        <v>3</v>
      </c>
      <c r="K72" t="str">
        <f>_xlfn.XLOOKUP(_xlfn.XLOOKUP(tblTags[[#This Row],[Tag]],db_drift!$B$2:$B$259,db_drift!$E$2:$E$259),tblFuelTypes[FuelType],tblFuelTypes[FuelTypeID],"")</f>
        <v/>
      </c>
      <c r="L72" t="str">
        <f>_xlfn.XLOOKUP(_xlfn.XLOOKUP(tblTags[[#This Row],[Tag]],db_drift!$B$2:$B$259,db_drift!$F$2:$F$259),tblFuelAllocations[FuelAllocation],tblFuelAllocations[FuelAllocationID],"")</f>
        <v/>
      </c>
      <c r="M72" t="str">
        <f>_xlfn.XLOOKUP(tblTags[[#This Row],[Tag]],tblHelpCalc1[Tag],tblHelpCalc1[Calc1ID],"")</f>
        <v/>
      </c>
      <c r="N72" t="str">
        <f>_xlfn.XLOOKUP(tblTags[[#This Row],[Tag]],tblHelpCalc2[Tag],tblHelpCalc2[Calc2ID],"")</f>
        <v/>
      </c>
      <c r="O72" s="2" t="str">
        <f>_xlfn.XLOOKUP(_xlfn.XLOOKUP(tblTags[[#This Row],[Tag]],tblDbDrift[Tag],tblDbDrift[Hide Tags]),tblHideTags[HideTag],tblHideTags[ID],"")</f>
        <v/>
      </c>
      <c r="P72" s="2"/>
      <c r="Q72" s="2" t="s">
        <v>654</v>
      </c>
      <c r="R72" s="2"/>
      <c r="S72" s="2"/>
      <c r="AS72">
        <v>62</v>
      </c>
      <c r="AT72" t="s">
        <v>284</v>
      </c>
      <c r="AU72" t="s">
        <v>139</v>
      </c>
      <c r="AW72">
        <v>62</v>
      </c>
      <c r="AX72" t="s">
        <v>427</v>
      </c>
      <c r="AY72" t="s">
        <v>565</v>
      </c>
    </row>
    <row r="73" spans="1:51" x14ac:dyDescent="0.2">
      <c r="A73">
        <v>63</v>
      </c>
      <c r="B73">
        <v>63</v>
      </c>
      <c r="C73" t="s">
        <v>131</v>
      </c>
      <c r="D73" t="s">
        <v>125</v>
      </c>
      <c r="E73" t="s">
        <v>125</v>
      </c>
      <c r="F73" cm="1">
        <f t="array" ref="F73">_xlfn.XLOOKUP(_xlfn.XLOOKUP(tblTags[[#This Row],[Tag]],db_drift!$B$2:$B$259,db_drift!$D$2:$D$259),tblInputTypes[[#All],[InputTypeName]],tblInputTypes[[#All],[InputTypeID]],"")</f>
        <v>2</v>
      </c>
      <c r="G73">
        <v>4</v>
      </c>
      <c r="H73">
        <v>6</v>
      </c>
      <c r="I73" t="str">
        <f>_xlfn.XLOOKUP(_xlfn.XLOOKUP(tblTags[[#This Row],[Tag]],db_drift!$B$2:$B$259,db_drift!$A$2:$A$259),tblDepartmentHeadings[DepartmentHeading],tblDepartmentHeadings[DepartmentHeadingID],"")</f>
        <v/>
      </c>
      <c r="J73">
        <v>9</v>
      </c>
      <c r="K73" t="str">
        <f>_xlfn.XLOOKUP(_xlfn.XLOOKUP(tblTags[[#This Row],[Tag]],db_drift!$B$2:$B$259,db_drift!$E$2:$E$259),tblFuelTypes[FuelType],tblFuelTypes[FuelTypeID],"")</f>
        <v/>
      </c>
      <c r="L73" t="str">
        <f>_xlfn.XLOOKUP(_xlfn.XLOOKUP(tblTags[[#This Row],[Tag]],db_drift!$B$2:$B$259,db_drift!$F$2:$F$259),tblFuelAllocations[FuelAllocation],tblFuelAllocations[FuelAllocationID],"")</f>
        <v/>
      </c>
      <c r="M73" t="str">
        <f>_xlfn.XLOOKUP(tblTags[[#This Row],[Tag]],tblHelpCalc1[Tag],tblHelpCalc1[Calc1ID],"")</f>
        <v/>
      </c>
      <c r="N73" t="str">
        <f>_xlfn.XLOOKUP(tblTags[[#This Row],[Tag]],tblHelpCalc2[Tag],tblHelpCalc2[Calc2ID],"")</f>
        <v/>
      </c>
      <c r="O73" s="2" t="str">
        <f>_xlfn.XLOOKUP(_xlfn.XLOOKUP(tblTags[[#This Row],[Tag]],tblDbDrift[Tag],tblDbDrift[Hide Tags]),tblHideTags[HideTag],tblHideTags[ID],"")</f>
        <v/>
      </c>
      <c r="P73" s="2"/>
      <c r="Q73" s="2" t="s">
        <v>655</v>
      </c>
      <c r="R73" s="2"/>
      <c r="S73" s="2"/>
      <c r="AS73">
        <v>63</v>
      </c>
      <c r="AT73" t="s">
        <v>285</v>
      </c>
      <c r="AU73" t="s">
        <v>141</v>
      </c>
      <c r="AW73">
        <v>63</v>
      </c>
      <c r="AX73" t="s">
        <v>428</v>
      </c>
      <c r="AY73" t="s">
        <v>567</v>
      </c>
    </row>
    <row r="74" spans="1:51" x14ac:dyDescent="0.2">
      <c r="A74">
        <v>64</v>
      </c>
      <c r="B74">
        <v>64</v>
      </c>
      <c r="C74" t="s">
        <v>27</v>
      </c>
      <c r="F74" t="str" cm="1">
        <f t="array" ref="F74">_xlfn.XLOOKUP(_xlfn.XLOOKUP(tblTags[[#This Row],[Tag]],db_drift!$B$2:$B$259,db_drift!$D$2:$D$259),tblInputTypes[[#All],[InputTypeName]],tblInputTypes[[#All],[InputTypeID]],"")</f>
        <v/>
      </c>
      <c r="G74">
        <v>1</v>
      </c>
      <c r="H74">
        <v>2</v>
      </c>
      <c r="I74" t="str">
        <f>_xlfn.XLOOKUP(_xlfn.XLOOKUP(tblTags[[#This Row],[Tag]],db_drift!$B$2:$B$259,db_drift!$A$2:$A$259),tblDepartmentHeadings[DepartmentHeading],tblDepartmentHeadings[DepartmentHeadingID],"")</f>
        <v/>
      </c>
      <c r="K74" t="str">
        <f>_xlfn.XLOOKUP(_xlfn.XLOOKUP(tblTags[[#This Row],[Tag]],db_drift!$B$2:$B$259,db_drift!$E$2:$E$259),tblFuelTypes[FuelType],tblFuelTypes[FuelTypeID],"")</f>
        <v/>
      </c>
      <c r="L74" t="str">
        <f>_xlfn.XLOOKUP(_xlfn.XLOOKUP(tblTags[[#This Row],[Tag]],db_drift!$B$2:$B$259,db_drift!$F$2:$F$259),tblFuelAllocations[FuelAllocation],tblFuelAllocations[FuelAllocationID],"")</f>
        <v/>
      </c>
      <c r="M74" t="str">
        <f>_xlfn.XLOOKUP(tblTags[[#This Row],[Tag]],tblHelpCalc1[Tag],tblHelpCalc1[Calc1ID],"")</f>
        <v/>
      </c>
      <c r="N74" t="str">
        <f>_xlfn.XLOOKUP(tblTags[[#This Row],[Tag]],tblHelpCalc2[Tag],tblHelpCalc2[Calc2ID],"")</f>
        <v/>
      </c>
      <c r="O74" s="2" t="str">
        <f>_xlfn.XLOOKUP(_xlfn.XLOOKUP(tblTags[[#This Row],[Tag]],tblDbDrift[Tag],tblDbDrift[Hide Tags]),tblHideTags[HideTag],tblHideTags[ID],"")</f>
        <v/>
      </c>
      <c r="P74" s="2"/>
      <c r="Q74" s="2" t="s">
        <v>656</v>
      </c>
      <c r="R74" s="2"/>
      <c r="S74" s="2"/>
      <c r="AS74">
        <v>64</v>
      </c>
      <c r="AT74" t="s">
        <v>286</v>
      </c>
      <c r="AU74" t="s">
        <v>143</v>
      </c>
      <c r="AW74">
        <v>64</v>
      </c>
      <c r="AX74" t="s">
        <v>320</v>
      </c>
      <c r="AY74" t="s">
        <v>132</v>
      </c>
    </row>
    <row r="75" spans="1:51" x14ac:dyDescent="0.2">
      <c r="A75">
        <v>65</v>
      </c>
      <c r="B75">
        <v>65</v>
      </c>
      <c r="C75" t="s">
        <v>132</v>
      </c>
      <c r="D75" t="s">
        <v>390</v>
      </c>
      <c r="E75" t="s">
        <v>390</v>
      </c>
      <c r="F75" cm="1">
        <f t="array" ref="F75">_xlfn.XLOOKUP(_xlfn.XLOOKUP(tblTags[[#This Row],[Tag]],db_drift!$B$2:$B$259,db_drift!$D$2:$D$259),tblInputTypes[[#All],[InputTypeName]],tblInputTypes[[#All],[InputTypeID]],"")</f>
        <v>2</v>
      </c>
      <c r="G75">
        <v>1</v>
      </c>
      <c r="H75">
        <v>2</v>
      </c>
      <c r="I75">
        <f>_xlfn.XLOOKUP(_xlfn.XLOOKUP(tblTags[[#This Row],[Tag]],db_drift!$B$2:$B$259,db_drift!$A$2:$A$259),tblDepartmentHeadings[DepartmentHeading],tblDepartmentHeadings[DepartmentHeadingID],"")</f>
        <v>6</v>
      </c>
      <c r="J75">
        <v>3</v>
      </c>
      <c r="K75" t="str">
        <f>_xlfn.XLOOKUP(_xlfn.XLOOKUP(tblTags[[#This Row],[Tag]],db_drift!$B$2:$B$259,db_drift!$E$2:$E$259),tblFuelTypes[FuelType],tblFuelTypes[FuelTypeID],"")</f>
        <v/>
      </c>
      <c r="L75" t="str">
        <f>_xlfn.XLOOKUP(_xlfn.XLOOKUP(tblTags[[#This Row],[Tag]],db_drift!$B$2:$B$259,db_drift!$F$2:$F$259),tblFuelAllocations[FuelAllocation],tblFuelAllocations[FuelAllocationID],"")</f>
        <v/>
      </c>
      <c r="M75" t="str">
        <f>_xlfn.XLOOKUP(tblTags[[#This Row],[Tag]],tblHelpCalc1[Tag],tblHelpCalc1[Calc1ID],"")</f>
        <v/>
      </c>
      <c r="N75">
        <f>_xlfn.XLOOKUP(tblTags[[#This Row],[Tag]],tblHelpCalc2[Tag],tblHelpCalc2[Calc2ID],"")</f>
        <v>1</v>
      </c>
      <c r="O75" s="2" t="str">
        <f>_xlfn.XLOOKUP(_xlfn.XLOOKUP(tblTags[[#This Row],[Tag]],tblDbDrift[Tag],tblDbDrift[Hide Tags]),tblHideTags[HideTag],tblHideTags[ID],"")</f>
        <v/>
      </c>
      <c r="P75" s="2"/>
      <c r="Q75" s="2" t="s">
        <v>657</v>
      </c>
      <c r="R75" s="2"/>
      <c r="S75" s="2"/>
      <c r="AS75">
        <v>65</v>
      </c>
      <c r="AT75" t="s">
        <v>287</v>
      </c>
      <c r="AU75" t="s">
        <v>144</v>
      </c>
      <c r="AW75">
        <v>65</v>
      </c>
      <c r="AX75" t="s">
        <v>321</v>
      </c>
      <c r="AY75" t="s">
        <v>588</v>
      </c>
    </row>
    <row r="76" spans="1:51" x14ac:dyDescent="0.2">
      <c r="A76">
        <v>66</v>
      </c>
      <c r="B76">
        <v>66</v>
      </c>
      <c r="C76" t="s">
        <v>133</v>
      </c>
      <c r="D76" t="s">
        <v>134</v>
      </c>
      <c r="E76" t="s">
        <v>134</v>
      </c>
      <c r="F76" cm="1">
        <f t="array" ref="F76">_xlfn.XLOOKUP(_xlfn.XLOOKUP(tblTags[[#This Row],[Tag]],db_drift!$B$2:$B$259,db_drift!$D$2:$D$259),tblInputTypes[[#All],[InputTypeName]],tblInputTypes[[#All],[InputTypeID]],"")</f>
        <v>2</v>
      </c>
      <c r="G76">
        <v>1</v>
      </c>
      <c r="H76">
        <v>2</v>
      </c>
      <c r="I76" t="str">
        <f>_xlfn.XLOOKUP(_xlfn.XLOOKUP(tblTags[[#This Row],[Tag]],db_drift!$B$2:$B$259,db_drift!$A$2:$A$259),tblDepartmentHeadings[DepartmentHeading],tblDepartmentHeadings[DepartmentHeadingID],"")</f>
        <v/>
      </c>
      <c r="J76">
        <v>9</v>
      </c>
      <c r="K76" t="str">
        <f>_xlfn.XLOOKUP(_xlfn.XLOOKUP(tblTags[[#This Row],[Tag]],db_drift!$B$2:$B$259,db_drift!$E$2:$E$259),tblFuelTypes[FuelType],tblFuelTypes[FuelTypeID],"")</f>
        <v/>
      </c>
      <c r="L76" t="str">
        <f>_xlfn.XLOOKUP(_xlfn.XLOOKUP(tblTags[[#This Row],[Tag]],db_drift!$B$2:$B$259,db_drift!$F$2:$F$259),tblFuelAllocations[FuelAllocation],tblFuelAllocations[FuelAllocationID],"")</f>
        <v/>
      </c>
      <c r="M76" t="str">
        <f>_xlfn.XLOOKUP(tblTags[[#This Row],[Tag]],tblHelpCalc1[Tag],tblHelpCalc1[Calc1ID],"")</f>
        <v/>
      </c>
      <c r="N76">
        <f>_xlfn.XLOOKUP(tblTags[[#This Row],[Tag]],tblHelpCalc2[Tag],tblHelpCalc2[Calc2ID],"")</f>
        <v>2</v>
      </c>
      <c r="O76" s="2" t="str">
        <f>_xlfn.XLOOKUP(_xlfn.XLOOKUP(tblTags[[#This Row],[Tag]],tblDbDrift[Tag],tblDbDrift[Hide Tags]),tblHideTags[HideTag],tblHideTags[ID],"")</f>
        <v/>
      </c>
      <c r="P76" s="2"/>
      <c r="Q76" s="2" t="s">
        <v>658</v>
      </c>
      <c r="R76" s="2"/>
      <c r="S76" s="2"/>
      <c r="AS76">
        <v>66</v>
      </c>
      <c r="AT76" t="s">
        <v>288</v>
      </c>
      <c r="AU76" t="s">
        <v>145</v>
      </c>
      <c r="AW76">
        <v>66</v>
      </c>
      <c r="AX76" t="s">
        <v>322</v>
      </c>
      <c r="AY76" t="s">
        <v>590</v>
      </c>
    </row>
    <row r="77" spans="1:51" x14ac:dyDescent="0.2">
      <c r="A77">
        <v>67</v>
      </c>
      <c r="B77">
        <v>67</v>
      </c>
      <c r="C77" t="s">
        <v>135</v>
      </c>
      <c r="D77" t="s">
        <v>136</v>
      </c>
      <c r="E77" t="s">
        <v>136</v>
      </c>
      <c r="F77" cm="1">
        <f t="array" ref="F77">_xlfn.XLOOKUP(_xlfn.XLOOKUP(tblTags[[#This Row],[Tag]],db_drift!$B$2:$B$259,db_drift!$D$2:$D$259),tblInputTypes[[#All],[InputTypeName]],tblInputTypes[[#All],[InputTypeID]],"")</f>
        <v>2</v>
      </c>
      <c r="G77">
        <v>1</v>
      </c>
      <c r="H77">
        <v>2</v>
      </c>
      <c r="I77" t="str">
        <f>_xlfn.XLOOKUP(_xlfn.XLOOKUP(tblTags[[#This Row],[Tag]],db_drift!$B$2:$B$259,db_drift!$A$2:$A$259),tblDepartmentHeadings[DepartmentHeading],tblDepartmentHeadings[DepartmentHeadingID],"")</f>
        <v/>
      </c>
      <c r="J77">
        <v>9</v>
      </c>
      <c r="K77" t="str">
        <f>_xlfn.XLOOKUP(_xlfn.XLOOKUP(tblTags[[#This Row],[Tag]],db_drift!$B$2:$B$259,db_drift!$E$2:$E$259),tblFuelTypes[FuelType],tblFuelTypes[FuelTypeID],"")</f>
        <v/>
      </c>
      <c r="L77" t="str">
        <f>_xlfn.XLOOKUP(_xlfn.XLOOKUP(tblTags[[#This Row],[Tag]],db_drift!$B$2:$B$259,db_drift!$F$2:$F$259),tblFuelAllocations[FuelAllocation],tblFuelAllocations[FuelAllocationID],"")</f>
        <v/>
      </c>
      <c r="M77" t="str">
        <f>_xlfn.XLOOKUP(tblTags[[#This Row],[Tag]],tblHelpCalc1[Tag],tblHelpCalc1[Calc1ID],"")</f>
        <v/>
      </c>
      <c r="N77">
        <f>_xlfn.XLOOKUP(tblTags[[#This Row],[Tag]],tblHelpCalc2[Tag],tblHelpCalc2[Calc2ID],"")</f>
        <v>3</v>
      </c>
      <c r="O77" s="2" t="str">
        <f>_xlfn.XLOOKUP(_xlfn.XLOOKUP(tblTags[[#This Row],[Tag]],tblDbDrift[Tag],tblDbDrift[Hide Tags]),tblHideTags[HideTag],tblHideTags[ID],"")</f>
        <v/>
      </c>
      <c r="P77" s="2"/>
      <c r="Q77" s="2" t="s">
        <v>659</v>
      </c>
      <c r="R77" s="2"/>
      <c r="S77" s="2"/>
      <c r="AS77">
        <v>67</v>
      </c>
      <c r="AT77" t="s">
        <v>290</v>
      </c>
      <c r="AU77" t="s">
        <v>148</v>
      </c>
      <c r="AW77">
        <v>67</v>
      </c>
      <c r="AX77" t="s">
        <v>324</v>
      </c>
      <c r="AY77" t="s">
        <v>591</v>
      </c>
    </row>
    <row r="78" spans="1:51" x14ac:dyDescent="0.2">
      <c r="A78">
        <v>68</v>
      </c>
      <c r="B78">
        <v>68</v>
      </c>
      <c r="C78" t="s">
        <v>137</v>
      </c>
      <c r="D78" t="s">
        <v>138</v>
      </c>
      <c r="E78" t="s">
        <v>138</v>
      </c>
      <c r="F78" cm="1">
        <f t="array" ref="F78">_xlfn.XLOOKUP(_xlfn.XLOOKUP(tblTags[[#This Row],[Tag]],db_drift!$B$2:$B$259,db_drift!$D$2:$D$259),tblInputTypes[[#All],[InputTypeName]],tblInputTypes[[#All],[InputTypeID]],"")</f>
        <v>2</v>
      </c>
      <c r="G78">
        <v>1</v>
      </c>
      <c r="H78">
        <v>2</v>
      </c>
      <c r="I78" t="str">
        <f>_xlfn.XLOOKUP(_xlfn.XLOOKUP(tblTags[[#This Row],[Tag]],db_drift!$B$2:$B$259,db_drift!$A$2:$A$259),tblDepartmentHeadings[DepartmentHeading],tblDepartmentHeadings[DepartmentHeadingID],"")</f>
        <v/>
      </c>
      <c r="J78">
        <v>9</v>
      </c>
      <c r="K78" t="str">
        <f>_xlfn.XLOOKUP(_xlfn.XLOOKUP(tblTags[[#This Row],[Tag]],db_drift!$B$2:$B$259,db_drift!$E$2:$E$259),tblFuelTypes[FuelType],tblFuelTypes[FuelTypeID],"")</f>
        <v/>
      </c>
      <c r="L78" t="str">
        <f>_xlfn.XLOOKUP(_xlfn.XLOOKUP(tblTags[[#This Row],[Tag]],db_drift!$B$2:$B$259,db_drift!$F$2:$F$259),tblFuelAllocations[FuelAllocation],tblFuelAllocations[FuelAllocationID],"")</f>
        <v/>
      </c>
      <c r="M78">
        <f>_xlfn.XLOOKUP(tblTags[[#This Row],[Tag]],tblHelpCalc1[Tag],tblHelpCalc1[Calc1ID],"")</f>
        <v>109</v>
      </c>
      <c r="N78">
        <f>_xlfn.XLOOKUP(tblTags[[#This Row],[Tag]],tblHelpCalc2[Tag],tblHelpCalc2[Calc2ID],"")</f>
        <v>4</v>
      </c>
      <c r="O78" s="2" t="str">
        <f>_xlfn.XLOOKUP(_xlfn.XLOOKUP(tblTags[[#This Row],[Tag]],tblDbDrift[Tag],tblDbDrift[Hide Tags]),tblHideTags[HideTag],tblHideTags[ID],"")</f>
        <v/>
      </c>
      <c r="P78" s="2"/>
      <c r="Q78" s="2" t="s">
        <v>660</v>
      </c>
      <c r="R78" s="2"/>
      <c r="S78" s="2"/>
      <c r="AS78">
        <v>68</v>
      </c>
      <c r="AT78" t="s">
        <v>291</v>
      </c>
      <c r="AU78" t="s">
        <v>512</v>
      </c>
      <c r="AW78">
        <v>68</v>
      </c>
      <c r="AX78" t="s">
        <v>326</v>
      </c>
      <c r="AY78" t="s">
        <v>592</v>
      </c>
    </row>
    <row r="79" spans="1:51" x14ac:dyDescent="0.2">
      <c r="A79">
        <v>69</v>
      </c>
      <c r="B79">
        <v>69</v>
      </c>
      <c r="C79" t="s">
        <v>139</v>
      </c>
      <c r="D79" t="s">
        <v>140</v>
      </c>
      <c r="E79" t="s">
        <v>140</v>
      </c>
      <c r="F79" cm="1">
        <f t="array" ref="F79">_xlfn.XLOOKUP(_xlfn.XLOOKUP(tblTags[[#This Row],[Tag]],db_drift!$B$2:$B$259,db_drift!$D$2:$D$259),tblInputTypes[[#All],[InputTypeName]],tblInputTypes[[#All],[InputTypeID]],"")</f>
        <v>2</v>
      </c>
      <c r="G79">
        <v>1</v>
      </c>
      <c r="H79">
        <v>2</v>
      </c>
      <c r="I79" t="str">
        <f>_xlfn.XLOOKUP(_xlfn.XLOOKUP(tblTags[[#This Row],[Tag]],db_drift!$B$2:$B$259,db_drift!$A$2:$A$259),tblDepartmentHeadings[DepartmentHeading],tblDepartmentHeadings[DepartmentHeadingID],"")</f>
        <v/>
      </c>
      <c r="J79">
        <v>9</v>
      </c>
      <c r="K79" t="str">
        <f>_xlfn.XLOOKUP(_xlfn.XLOOKUP(tblTags[[#This Row],[Tag]],db_drift!$B$2:$B$259,db_drift!$E$2:$E$259),tblFuelTypes[FuelType],tblFuelTypes[FuelTypeID],"")</f>
        <v/>
      </c>
      <c r="L79" t="str">
        <f>_xlfn.XLOOKUP(_xlfn.XLOOKUP(tblTags[[#This Row],[Tag]],db_drift!$B$2:$B$259,db_drift!$F$2:$F$259),tblFuelAllocations[FuelAllocation],tblFuelAllocations[FuelAllocationID],"")</f>
        <v/>
      </c>
      <c r="M79">
        <f>_xlfn.XLOOKUP(tblTags[[#This Row],[Tag]],tblHelpCalc1[Tag],tblHelpCalc1[Calc1ID],"")</f>
        <v>110</v>
      </c>
      <c r="N79">
        <f>_xlfn.XLOOKUP(tblTags[[#This Row],[Tag]],tblHelpCalc2[Tag],tblHelpCalc2[Calc2ID],"")</f>
        <v>5</v>
      </c>
      <c r="O79" s="2" t="str">
        <f>_xlfn.XLOOKUP(_xlfn.XLOOKUP(tblTags[[#This Row],[Tag]],tblDbDrift[Tag],tblDbDrift[Hide Tags]),tblHideTags[HideTag],tblHideTags[ID],"")</f>
        <v/>
      </c>
      <c r="P79" s="2"/>
      <c r="Q79" s="2" t="s">
        <v>661</v>
      </c>
      <c r="R79" s="2"/>
      <c r="S79" s="2"/>
      <c r="AS79">
        <v>69</v>
      </c>
      <c r="AT79" t="s">
        <v>294</v>
      </c>
      <c r="AU79" t="s">
        <v>162</v>
      </c>
    </row>
    <row r="80" spans="1:51" x14ac:dyDescent="0.2">
      <c r="A80">
        <v>70</v>
      </c>
      <c r="B80">
        <v>70</v>
      </c>
      <c r="C80" t="s">
        <v>141</v>
      </c>
      <c r="D80" t="s">
        <v>142</v>
      </c>
      <c r="E80" t="s">
        <v>142</v>
      </c>
      <c r="F80" cm="1">
        <f t="array" ref="F80">_xlfn.XLOOKUP(_xlfn.XLOOKUP(tblTags[[#This Row],[Tag]],db_drift!$B$2:$B$259,db_drift!$D$2:$D$259),tblInputTypes[[#All],[InputTypeName]],tblInputTypes[[#All],[InputTypeID]],"")</f>
        <v>2</v>
      </c>
      <c r="G80">
        <v>1</v>
      </c>
      <c r="H80">
        <v>2</v>
      </c>
      <c r="I80" t="str">
        <f>_xlfn.XLOOKUP(_xlfn.XLOOKUP(tblTags[[#This Row],[Tag]],db_drift!$B$2:$B$259,db_drift!$A$2:$A$259),tblDepartmentHeadings[DepartmentHeading],tblDepartmentHeadings[DepartmentHeadingID],"")</f>
        <v/>
      </c>
      <c r="J80">
        <v>9</v>
      </c>
      <c r="K80" t="str">
        <f>_xlfn.XLOOKUP(_xlfn.XLOOKUP(tblTags[[#This Row],[Tag]],db_drift!$B$2:$B$259,db_drift!$E$2:$E$259),tblFuelTypes[FuelType],tblFuelTypes[FuelTypeID],"")</f>
        <v/>
      </c>
      <c r="L80" t="str">
        <f>_xlfn.XLOOKUP(_xlfn.XLOOKUP(tblTags[[#This Row],[Tag]],db_drift!$B$2:$B$259,db_drift!$F$2:$F$259),tblFuelAllocations[FuelAllocation],tblFuelAllocations[FuelAllocationID],"")</f>
        <v/>
      </c>
      <c r="M80">
        <f>_xlfn.XLOOKUP(tblTags[[#This Row],[Tag]],tblHelpCalc1[Tag],tblHelpCalc1[Calc1ID],"")</f>
        <v>111</v>
      </c>
      <c r="N80">
        <f>_xlfn.XLOOKUP(tblTags[[#This Row],[Tag]],tblHelpCalc2[Tag],tblHelpCalc2[Calc2ID],"")</f>
        <v>6</v>
      </c>
      <c r="O80" s="2" t="str">
        <f>_xlfn.XLOOKUP(_xlfn.XLOOKUP(tblTags[[#This Row],[Tag]],tblDbDrift[Tag],tblDbDrift[Hide Tags]),tblHideTags[HideTag],tblHideTags[ID],"")</f>
        <v/>
      </c>
      <c r="P80" s="2"/>
      <c r="Q80" s="2" t="s">
        <v>662</v>
      </c>
      <c r="R80" s="2"/>
      <c r="S80" s="2"/>
      <c r="AS80">
        <v>70</v>
      </c>
      <c r="AT80" t="s">
        <v>295</v>
      </c>
      <c r="AU80" t="s">
        <v>583</v>
      </c>
    </row>
    <row r="81" spans="1:47" x14ac:dyDescent="0.2">
      <c r="A81">
        <v>71</v>
      </c>
      <c r="B81">
        <v>71</v>
      </c>
      <c r="C81" t="s">
        <v>143</v>
      </c>
      <c r="D81" t="s">
        <v>391</v>
      </c>
      <c r="E81" t="s">
        <v>391</v>
      </c>
      <c r="F81" cm="1">
        <f t="array" ref="F81">_xlfn.XLOOKUP(_xlfn.XLOOKUP(tblTags[[#This Row],[Tag]],db_drift!$B$2:$B$259,db_drift!$D$2:$D$259),tblInputTypes[[#All],[InputTypeName]],tblInputTypes[[#All],[InputTypeID]],"")</f>
        <v>2</v>
      </c>
      <c r="G81">
        <v>1</v>
      </c>
      <c r="H81">
        <v>2</v>
      </c>
      <c r="I81" t="str">
        <f>_xlfn.XLOOKUP(_xlfn.XLOOKUP(tblTags[[#This Row],[Tag]],db_drift!$B$2:$B$259,db_drift!$A$2:$A$259),tblDepartmentHeadings[DepartmentHeading],tblDepartmentHeadings[DepartmentHeadingID],"")</f>
        <v/>
      </c>
      <c r="J81">
        <v>9</v>
      </c>
      <c r="K81" t="str">
        <f>_xlfn.XLOOKUP(_xlfn.XLOOKUP(tblTags[[#This Row],[Tag]],db_drift!$B$2:$B$259,db_drift!$E$2:$E$259),tblFuelTypes[FuelType],tblFuelTypes[FuelTypeID],"")</f>
        <v/>
      </c>
      <c r="L81" t="str">
        <f>_xlfn.XLOOKUP(_xlfn.XLOOKUP(tblTags[[#This Row],[Tag]],db_drift!$B$2:$B$259,db_drift!$F$2:$F$259),tblFuelAllocations[FuelAllocation],tblFuelAllocations[FuelAllocationID],"")</f>
        <v/>
      </c>
      <c r="M81">
        <f>_xlfn.XLOOKUP(tblTags[[#This Row],[Tag]],tblHelpCalc1[Tag],tblHelpCalc1[Calc1ID],"")</f>
        <v>112</v>
      </c>
      <c r="N81">
        <f>_xlfn.XLOOKUP(tblTags[[#This Row],[Tag]],tblHelpCalc2[Tag],tblHelpCalc2[Calc2ID],"")</f>
        <v>7</v>
      </c>
      <c r="O81" s="2" t="str">
        <f>_xlfn.XLOOKUP(_xlfn.XLOOKUP(tblTags[[#This Row],[Tag]],tblDbDrift[Tag],tblDbDrift[Hide Tags]),tblHideTags[HideTag],tblHideTags[ID],"")</f>
        <v/>
      </c>
      <c r="P81" s="2"/>
      <c r="Q81" s="2" t="s">
        <v>663</v>
      </c>
      <c r="R81" s="2"/>
      <c r="S81" s="2"/>
      <c r="AS81">
        <v>71</v>
      </c>
      <c r="AT81" t="s">
        <v>296</v>
      </c>
      <c r="AU81" t="s">
        <v>151</v>
      </c>
    </row>
    <row r="82" spans="1:47" x14ac:dyDescent="0.2">
      <c r="A82">
        <v>72</v>
      </c>
      <c r="B82">
        <v>72</v>
      </c>
      <c r="C82" t="s">
        <v>144</v>
      </c>
      <c r="D82" t="s">
        <v>388</v>
      </c>
      <c r="E82" t="s">
        <v>388</v>
      </c>
      <c r="F82" cm="1">
        <f t="array" ref="F82">_xlfn.XLOOKUP(_xlfn.XLOOKUP(tblTags[[#This Row],[Tag]],db_drift!$B$2:$B$259,db_drift!$D$2:$D$259),tblInputTypes[[#All],[InputTypeName]],tblInputTypes[[#All],[InputTypeID]],"")</f>
        <v>2</v>
      </c>
      <c r="G82">
        <v>1</v>
      </c>
      <c r="H82">
        <v>2</v>
      </c>
      <c r="I82" t="str">
        <f>_xlfn.XLOOKUP(_xlfn.XLOOKUP(tblTags[[#This Row],[Tag]],db_drift!$B$2:$B$259,db_drift!$A$2:$A$259),tblDepartmentHeadings[DepartmentHeading],tblDepartmentHeadings[DepartmentHeadingID],"")</f>
        <v/>
      </c>
      <c r="J82">
        <v>9</v>
      </c>
      <c r="K82" t="str">
        <f>_xlfn.XLOOKUP(_xlfn.XLOOKUP(tblTags[[#This Row],[Tag]],db_drift!$B$2:$B$259,db_drift!$E$2:$E$259),tblFuelTypes[FuelType],tblFuelTypes[FuelTypeID],"")</f>
        <v/>
      </c>
      <c r="L82" t="str">
        <f>_xlfn.XLOOKUP(_xlfn.XLOOKUP(tblTags[[#This Row],[Tag]],db_drift!$B$2:$B$259,db_drift!$F$2:$F$259),tblFuelAllocations[FuelAllocation],tblFuelAllocations[FuelAllocationID],"")</f>
        <v/>
      </c>
      <c r="M82">
        <f>_xlfn.XLOOKUP(tblTags[[#This Row],[Tag]],tblHelpCalc1[Tag],tblHelpCalc1[Calc1ID],"")</f>
        <v>113</v>
      </c>
      <c r="N82">
        <f>_xlfn.XLOOKUP(tblTags[[#This Row],[Tag]],tblHelpCalc2[Tag],tblHelpCalc2[Calc2ID],"")</f>
        <v>8</v>
      </c>
      <c r="O82" s="2" t="str">
        <f>_xlfn.XLOOKUP(_xlfn.XLOOKUP(tblTags[[#This Row],[Tag]],tblDbDrift[Tag],tblDbDrift[Hide Tags]),tblHideTags[HideTag],tblHideTags[ID],"")</f>
        <v/>
      </c>
      <c r="P82" s="2"/>
      <c r="Q82" s="2" t="s">
        <v>664</v>
      </c>
      <c r="R82" s="2"/>
      <c r="S82" s="2"/>
      <c r="AS82">
        <v>72</v>
      </c>
      <c r="AT82" t="s">
        <v>297</v>
      </c>
      <c r="AU82" t="s">
        <v>152</v>
      </c>
    </row>
    <row r="83" spans="1:47" x14ac:dyDescent="0.2">
      <c r="A83">
        <v>73</v>
      </c>
      <c r="B83">
        <v>73</v>
      </c>
      <c r="C83" t="s">
        <v>145</v>
      </c>
      <c r="D83" t="s">
        <v>146</v>
      </c>
      <c r="E83" t="s">
        <v>146</v>
      </c>
      <c r="F83" cm="1">
        <f t="array" ref="F83">_xlfn.XLOOKUP(_xlfn.XLOOKUP(tblTags[[#This Row],[Tag]],db_drift!$B$2:$B$259,db_drift!$D$2:$D$259),tblInputTypes[[#All],[InputTypeName]],tblInputTypes[[#All],[InputTypeID]],"")</f>
        <v>2</v>
      </c>
      <c r="G83">
        <v>1</v>
      </c>
      <c r="H83">
        <v>2</v>
      </c>
      <c r="I83" t="str">
        <f>_xlfn.XLOOKUP(_xlfn.XLOOKUP(tblTags[[#This Row],[Tag]],db_drift!$B$2:$B$259,db_drift!$A$2:$A$259),tblDepartmentHeadings[DepartmentHeading],tblDepartmentHeadings[DepartmentHeadingID],"")</f>
        <v/>
      </c>
      <c r="J83">
        <v>4</v>
      </c>
      <c r="K83" t="str">
        <f>_xlfn.XLOOKUP(_xlfn.XLOOKUP(tblTags[[#This Row],[Tag]],db_drift!$B$2:$B$259,db_drift!$E$2:$E$259),tblFuelTypes[FuelType],tblFuelTypes[FuelTypeID],"")</f>
        <v/>
      </c>
      <c r="L83" t="str">
        <f>_xlfn.XLOOKUP(_xlfn.XLOOKUP(tblTags[[#This Row],[Tag]],db_drift!$B$2:$B$259,db_drift!$F$2:$F$259),tblFuelAllocations[FuelAllocation],tblFuelAllocations[FuelAllocationID],"")</f>
        <v/>
      </c>
      <c r="M83">
        <f>_xlfn.XLOOKUP(tblTags[[#This Row],[Tag]],tblHelpCalc1[Tag],tblHelpCalc1[Calc1ID],"")</f>
        <v>114</v>
      </c>
      <c r="N83">
        <f>_xlfn.XLOOKUP(tblTags[[#This Row],[Tag]],tblHelpCalc2[Tag],tblHelpCalc2[Calc2ID],"")</f>
        <v>9</v>
      </c>
      <c r="O83" s="2" t="str">
        <f>_xlfn.XLOOKUP(_xlfn.XLOOKUP(tblTags[[#This Row],[Tag]],tblDbDrift[Tag],tblDbDrift[Hide Tags]),tblHideTags[HideTag],tblHideTags[ID],"")</f>
        <v/>
      </c>
      <c r="P83" s="2"/>
      <c r="Q83" s="2" t="s">
        <v>665</v>
      </c>
      <c r="R83" s="2"/>
      <c r="S83" s="2"/>
      <c r="AS83">
        <v>73</v>
      </c>
      <c r="AT83" t="s">
        <v>298</v>
      </c>
      <c r="AU83" t="s">
        <v>153</v>
      </c>
    </row>
    <row r="84" spans="1:47" x14ac:dyDescent="0.2">
      <c r="A84">
        <v>74</v>
      </c>
      <c r="B84">
        <v>74</v>
      </c>
      <c r="C84" t="s">
        <v>147</v>
      </c>
      <c r="D84" t="s">
        <v>64</v>
      </c>
      <c r="E84" t="s">
        <v>64</v>
      </c>
      <c r="F84" cm="1">
        <f t="array" ref="F84">_xlfn.XLOOKUP(_xlfn.XLOOKUP(tblTags[[#This Row],[Tag]],db_drift!$B$2:$B$259,db_drift!$D$2:$D$259),tblInputTypes[[#All],[InputTypeName]],tblInputTypes[[#All],[InputTypeID]],"")</f>
        <v>2</v>
      </c>
      <c r="G84">
        <v>1</v>
      </c>
      <c r="H84">
        <v>2</v>
      </c>
      <c r="I84" t="str">
        <f>_xlfn.XLOOKUP(_xlfn.XLOOKUP(tblTags[[#This Row],[Tag]],db_drift!$B$2:$B$259,db_drift!$A$2:$A$259),tblDepartmentHeadings[DepartmentHeading],tblDepartmentHeadings[DepartmentHeadingID],"")</f>
        <v/>
      </c>
      <c r="J84">
        <v>5</v>
      </c>
      <c r="K84" t="str">
        <f>_xlfn.XLOOKUP(_xlfn.XLOOKUP(tblTags[[#This Row],[Tag]],db_drift!$B$2:$B$259,db_drift!$E$2:$E$259),tblFuelTypes[FuelType],tblFuelTypes[FuelTypeID],"")</f>
        <v/>
      </c>
      <c r="L84" t="str">
        <f>_xlfn.XLOOKUP(_xlfn.XLOOKUP(tblTags[[#This Row],[Tag]],db_drift!$B$2:$B$259,db_drift!$F$2:$F$259),tblFuelAllocations[FuelAllocation],tblFuelAllocations[FuelAllocationID],"")</f>
        <v/>
      </c>
      <c r="M84" t="str">
        <f>_xlfn.XLOOKUP(tblTags[[#This Row],[Tag]],tblHelpCalc1[Tag],tblHelpCalc1[Calc1ID],"")</f>
        <v/>
      </c>
      <c r="N84" t="str">
        <f>_xlfn.XLOOKUP(tblTags[[#This Row],[Tag]],tblHelpCalc2[Tag],tblHelpCalc2[Calc2ID],"")</f>
        <v/>
      </c>
      <c r="O84" s="2" t="str">
        <f>_xlfn.XLOOKUP(_xlfn.XLOOKUP(tblTags[[#This Row],[Tag]],tblDbDrift[Tag],tblDbDrift[Hide Tags]),tblHideTags[HideTag],tblHideTags[ID],"")</f>
        <v/>
      </c>
      <c r="P84" s="2"/>
      <c r="Q84" s="2" t="s">
        <v>666</v>
      </c>
      <c r="R84" s="2"/>
      <c r="S84" s="2"/>
      <c r="AS84">
        <v>74</v>
      </c>
      <c r="AT84" t="s">
        <v>299</v>
      </c>
      <c r="AU84" t="s">
        <v>154</v>
      </c>
    </row>
    <row r="85" spans="1:47" x14ac:dyDescent="0.2">
      <c r="A85">
        <v>75</v>
      </c>
      <c r="B85">
        <v>75</v>
      </c>
      <c r="C85" t="s">
        <v>28</v>
      </c>
      <c r="F85" t="str" cm="1">
        <f t="array" ref="F85">_xlfn.XLOOKUP(_xlfn.XLOOKUP(tblTags[[#This Row],[Tag]],db_drift!$B$2:$B$259,db_drift!$D$2:$D$259),tblInputTypes[[#All],[InputTypeName]],tblInputTypes[[#All],[InputTypeID]],"")</f>
        <v/>
      </c>
      <c r="G85">
        <v>2</v>
      </c>
      <c r="H85">
        <v>3</v>
      </c>
      <c r="I85" t="str">
        <f>_xlfn.XLOOKUP(_xlfn.XLOOKUP(tblTags[[#This Row],[Tag]],db_drift!$B$2:$B$259,db_drift!$A$2:$A$259),tblDepartmentHeadings[DepartmentHeading],tblDepartmentHeadings[DepartmentHeadingID],"")</f>
        <v/>
      </c>
      <c r="K85" t="str">
        <f>_xlfn.XLOOKUP(_xlfn.XLOOKUP(tblTags[[#This Row],[Tag]],db_drift!$B$2:$B$259,db_drift!$E$2:$E$259),tblFuelTypes[FuelType],tblFuelTypes[FuelTypeID],"")</f>
        <v/>
      </c>
      <c r="L85" t="str">
        <f>_xlfn.XLOOKUP(_xlfn.XLOOKUP(tblTags[[#This Row],[Tag]],db_drift!$B$2:$B$259,db_drift!$F$2:$F$259),tblFuelAllocations[FuelAllocation],tblFuelAllocations[FuelAllocationID],"")</f>
        <v/>
      </c>
      <c r="M85" t="str">
        <f>_xlfn.XLOOKUP(tblTags[[#This Row],[Tag]],tblHelpCalc1[Tag],tblHelpCalc1[Calc1ID],"")</f>
        <v/>
      </c>
      <c r="N85" t="str">
        <f>_xlfn.XLOOKUP(tblTags[[#This Row],[Tag]],tblHelpCalc2[Tag],tblHelpCalc2[Calc2ID],"")</f>
        <v/>
      </c>
      <c r="O85" s="2" t="str">
        <f>_xlfn.XLOOKUP(_xlfn.XLOOKUP(tblTags[[#This Row],[Tag]],tblDbDrift[Tag],tblDbDrift[Hide Tags]),tblHideTags[HideTag],tblHideTags[ID],"")</f>
        <v/>
      </c>
      <c r="P85" s="2"/>
      <c r="Q85" s="2" t="s">
        <v>667</v>
      </c>
      <c r="R85" s="2"/>
      <c r="S85" s="2"/>
      <c r="AS85">
        <v>75</v>
      </c>
      <c r="AT85" t="s">
        <v>300</v>
      </c>
      <c r="AU85" t="s">
        <v>155</v>
      </c>
    </row>
    <row r="86" spans="1:47" x14ac:dyDescent="0.2">
      <c r="A86">
        <v>76</v>
      </c>
      <c r="B86">
        <v>76</v>
      </c>
      <c r="C86" t="s">
        <v>148</v>
      </c>
      <c r="D86" t="s">
        <v>392</v>
      </c>
      <c r="E86" t="s">
        <v>392</v>
      </c>
      <c r="F86" cm="1">
        <f t="array" ref="F86">_xlfn.XLOOKUP(_xlfn.XLOOKUP(tblTags[[#This Row],[Tag]],db_drift!$B$2:$B$259,db_drift!$D$2:$D$259),tblInputTypes[[#All],[InputTypeName]],tblInputTypes[[#All],[InputTypeID]],"")</f>
        <v>2</v>
      </c>
      <c r="G86">
        <v>2</v>
      </c>
      <c r="H86">
        <v>3</v>
      </c>
      <c r="I86">
        <f>_xlfn.XLOOKUP(_xlfn.XLOOKUP(tblTags[[#This Row],[Tag]],db_drift!$B$2:$B$259,db_drift!$A$2:$A$259),tblDepartmentHeadings[DepartmentHeading],tblDepartmentHeadings[DepartmentHeadingID],"")</f>
        <v>7</v>
      </c>
      <c r="J86">
        <v>3</v>
      </c>
      <c r="K86" t="str">
        <f>_xlfn.XLOOKUP(_xlfn.XLOOKUP(tblTags[[#This Row],[Tag]],db_drift!$B$2:$B$259,db_drift!$E$2:$E$259),tblFuelTypes[FuelType],tblFuelTypes[FuelTypeID],"")</f>
        <v/>
      </c>
      <c r="L86" t="str">
        <f>_xlfn.XLOOKUP(_xlfn.XLOOKUP(tblTags[[#This Row],[Tag]],db_drift!$B$2:$B$259,db_drift!$F$2:$F$259),tblFuelAllocations[FuelAllocation],tblFuelAllocations[FuelAllocationID],"")</f>
        <v/>
      </c>
      <c r="M86" t="str">
        <f>_xlfn.XLOOKUP(tblTags[[#This Row],[Tag]],tblHelpCalc1[Tag],tblHelpCalc1[Calc1ID],"")</f>
        <v/>
      </c>
      <c r="N86">
        <f>_xlfn.XLOOKUP(tblTags[[#This Row],[Tag]],tblHelpCalc2[Tag],tblHelpCalc2[Calc2ID],"")</f>
        <v>10</v>
      </c>
      <c r="O86" s="2" t="str">
        <f>_xlfn.XLOOKUP(_xlfn.XLOOKUP(tblTags[[#This Row],[Tag]],tblDbDrift[Tag],tblDbDrift[Hide Tags]),tblHideTags[HideTag],tblHideTags[ID],"")</f>
        <v/>
      </c>
      <c r="P86" s="2"/>
      <c r="Q86" s="2" t="s">
        <v>668</v>
      </c>
      <c r="R86" s="2"/>
      <c r="S86" s="2"/>
      <c r="AS86">
        <v>76</v>
      </c>
      <c r="AT86" t="s">
        <v>301</v>
      </c>
      <c r="AU86" t="s">
        <v>156</v>
      </c>
    </row>
    <row r="87" spans="1:47" x14ac:dyDescent="0.2">
      <c r="A87">
        <v>77</v>
      </c>
      <c r="B87">
        <v>77</v>
      </c>
      <c r="C87" t="s">
        <v>149</v>
      </c>
      <c r="D87" t="s">
        <v>134</v>
      </c>
      <c r="E87" t="s">
        <v>134</v>
      </c>
      <c r="F87" cm="1">
        <f t="array" ref="F87">_xlfn.XLOOKUP(_xlfn.XLOOKUP(tblTags[[#This Row],[Tag]],db_drift!$B$2:$B$259,db_drift!$D$2:$D$259),tblInputTypes[[#All],[InputTypeName]],tblInputTypes[[#All],[InputTypeID]],"")</f>
        <v>2</v>
      </c>
      <c r="G87">
        <v>2</v>
      </c>
      <c r="H87">
        <v>3</v>
      </c>
      <c r="I87" t="str">
        <f>_xlfn.XLOOKUP(_xlfn.XLOOKUP(tblTags[[#This Row],[Tag]],db_drift!$B$2:$B$259,db_drift!$A$2:$A$259),tblDepartmentHeadings[DepartmentHeading],tblDepartmentHeadings[DepartmentHeadingID],"")</f>
        <v/>
      </c>
      <c r="J87">
        <v>9</v>
      </c>
      <c r="K87" t="str">
        <f>_xlfn.XLOOKUP(_xlfn.XLOOKUP(tblTags[[#This Row],[Tag]],db_drift!$B$2:$B$259,db_drift!$E$2:$E$259),tblFuelTypes[FuelType],tblFuelTypes[FuelTypeID],"")</f>
        <v/>
      </c>
      <c r="L87" t="str">
        <f>_xlfn.XLOOKUP(_xlfn.XLOOKUP(tblTags[[#This Row],[Tag]],db_drift!$B$2:$B$259,db_drift!$F$2:$F$259),tblFuelAllocations[FuelAllocation],tblFuelAllocations[FuelAllocationID],"")</f>
        <v/>
      </c>
      <c r="M87" t="str">
        <f>_xlfn.XLOOKUP(tblTags[[#This Row],[Tag]],tblHelpCalc1[Tag],tblHelpCalc1[Calc1ID],"")</f>
        <v/>
      </c>
      <c r="N87">
        <f>_xlfn.XLOOKUP(tblTags[[#This Row],[Tag]],tblHelpCalc2[Tag],tblHelpCalc2[Calc2ID],"")</f>
        <v>11</v>
      </c>
      <c r="O87" s="2" t="str">
        <f>_xlfn.XLOOKUP(_xlfn.XLOOKUP(tblTags[[#This Row],[Tag]],tblDbDrift[Tag],tblDbDrift[Hide Tags]),tblHideTags[HideTag],tblHideTags[ID],"")</f>
        <v/>
      </c>
      <c r="P87" s="2"/>
      <c r="Q87" s="2" t="s">
        <v>658</v>
      </c>
      <c r="R87" s="2"/>
      <c r="S87" s="2"/>
      <c r="AS87">
        <v>77</v>
      </c>
      <c r="AT87" t="s">
        <v>303</v>
      </c>
      <c r="AU87" t="s">
        <v>164</v>
      </c>
    </row>
    <row r="88" spans="1:47" x14ac:dyDescent="0.2">
      <c r="A88">
        <v>78</v>
      </c>
      <c r="B88">
        <v>78</v>
      </c>
      <c r="C88" t="s">
        <v>150</v>
      </c>
      <c r="D88" t="s">
        <v>136</v>
      </c>
      <c r="E88" t="s">
        <v>136</v>
      </c>
      <c r="F88" cm="1">
        <f t="array" ref="F88">_xlfn.XLOOKUP(_xlfn.XLOOKUP(tblTags[[#This Row],[Tag]],db_drift!$B$2:$B$259,db_drift!$D$2:$D$259),tblInputTypes[[#All],[InputTypeName]],tblInputTypes[[#All],[InputTypeID]],"")</f>
        <v>2</v>
      </c>
      <c r="G88">
        <v>2</v>
      </c>
      <c r="H88">
        <v>3</v>
      </c>
      <c r="I88" t="str">
        <f>_xlfn.XLOOKUP(_xlfn.XLOOKUP(tblTags[[#This Row],[Tag]],db_drift!$B$2:$B$259,db_drift!$A$2:$A$259),tblDepartmentHeadings[DepartmentHeading],tblDepartmentHeadings[DepartmentHeadingID],"")</f>
        <v/>
      </c>
      <c r="J88">
        <v>9</v>
      </c>
      <c r="K88" t="str">
        <f>_xlfn.XLOOKUP(_xlfn.XLOOKUP(tblTags[[#This Row],[Tag]],db_drift!$B$2:$B$259,db_drift!$E$2:$E$259),tblFuelTypes[FuelType],tblFuelTypes[FuelTypeID],"")</f>
        <v/>
      </c>
      <c r="L88" t="str">
        <f>_xlfn.XLOOKUP(_xlfn.XLOOKUP(tblTags[[#This Row],[Tag]],db_drift!$B$2:$B$259,db_drift!$F$2:$F$259),tblFuelAllocations[FuelAllocation],tblFuelAllocations[FuelAllocationID],"")</f>
        <v/>
      </c>
      <c r="M88" t="str">
        <f>_xlfn.XLOOKUP(tblTags[[#This Row],[Tag]],tblHelpCalc1[Tag],tblHelpCalc1[Calc1ID],"")</f>
        <v/>
      </c>
      <c r="N88">
        <f>_xlfn.XLOOKUP(tblTags[[#This Row],[Tag]],tblHelpCalc2[Tag],tblHelpCalc2[Calc2ID],"")</f>
        <v>12</v>
      </c>
      <c r="O88" s="2" t="str">
        <f>_xlfn.XLOOKUP(_xlfn.XLOOKUP(tblTags[[#This Row],[Tag]],tblDbDrift[Tag],tblDbDrift[Hide Tags]),tblHideTags[HideTag],tblHideTags[ID],"")</f>
        <v/>
      </c>
      <c r="P88" s="2"/>
      <c r="Q88" s="2" t="s">
        <v>659</v>
      </c>
      <c r="R88" s="2"/>
      <c r="S88" s="2"/>
      <c r="AS88">
        <v>78</v>
      </c>
      <c r="AT88" t="s">
        <v>304</v>
      </c>
      <c r="AU88" t="s">
        <v>518</v>
      </c>
    </row>
    <row r="89" spans="1:47" x14ac:dyDescent="0.2">
      <c r="A89">
        <v>79</v>
      </c>
      <c r="B89">
        <v>79</v>
      </c>
      <c r="C89" t="s">
        <v>151</v>
      </c>
      <c r="D89" t="s">
        <v>138</v>
      </c>
      <c r="E89" t="s">
        <v>138</v>
      </c>
      <c r="F89" cm="1">
        <f t="array" ref="F89">_xlfn.XLOOKUP(_xlfn.XLOOKUP(tblTags[[#This Row],[Tag]],db_drift!$B$2:$B$259,db_drift!$D$2:$D$259),tblInputTypes[[#All],[InputTypeName]],tblInputTypes[[#All],[InputTypeID]],"")</f>
        <v>2</v>
      </c>
      <c r="G89">
        <v>2</v>
      </c>
      <c r="H89">
        <v>3</v>
      </c>
      <c r="I89" t="str">
        <f>_xlfn.XLOOKUP(_xlfn.XLOOKUP(tblTags[[#This Row],[Tag]],db_drift!$B$2:$B$259,db_drift!$A$2:$A$259),tblDepartmentHeadings[DepartmentHeading],tblDepartmentHeadings[DepartmentHeadingID],"")</f>
        <v/>
      </c>
      <c r="J89">
        <v>9</v>
      </c>
      <c r="K89" t="str">
        <f>_xlfn.XLOOKUP(_xlfn.XLOOKUP(tblTags[[#This Row],[Tag]],db_drift!$B$2:$B$259,db_drift!$E$2:$E$259),tblFuelTypes[FuelType],tblFuelTypes[FuelTypeID],"")</f>
        <v/>
      </c>
      <c r="L89" t="str">
        <f>_xlfn.XLOOKUP(_xlfn.XLOOKUP(tblTags[[#This Row],[Tag]],db_drift!$B$2:$B$259,db_drift!$F$2:$F$259),tblFuelAllocations[FuelAllocation],tblFuelAllocations[FuelAllocationID],"")</f>
        <v/>
      </c>
      <c r="M89">
        <f>_xlfn.XLOOKUP(tblTags[[#This Row],[Tag]],tblHelpCalc1[Tag],tblHelpCalc1[Calc1ID],"")</f>
        <v>115</v>
      </c>
      <c r="N89">
        <f>_xlfn.XLOOKUP(tblTags[[#This Row],[Tag]],tblHelpCalc2[Tag],tblHelpCalc2[Calc2ID],"")</f>
        <v>13</v>
      </c>
      <c r="O89" s="2" t="str">
        <f>_xlfn.XLOOKUP(_xlfn.XLOOKUP(tblTags[[#This Row],[Tag]],tblDbDrift[Tag],tblDbDrift[Hide Tags]),tblHideTags[HideTag],tblHideTags[ID],"")</f>
        <v/>
      </c>
      <c r="P89" s="2"/>
      <c r="Q89" s="2" t="s">
        <v>660</v>
      </c>
      <c r="R89" s="2"/>
      <c r="S89" s="2"/>
      <c r="AS89">
        <v>79</v>
      </c>
      <c r="AT89" t="s">
        <v>307</v>
      </c>
      <c r="AU89" t="s">
        <v>175</v>
      </c>
    </row>
    <row r="90" spans="1:47" x14ac:dyDescent="0.2">
      <c r="A90">
        <v>80</v>
      </c>
      <c r="B90">
        <v>80</v>
      </c>
      <c r="C90" t="s">
        <v>152</v>
      </c>
      <c r="D90" t="s">
        <v>140</v>
      </c>
      <c r="E90" t="s">
        <v>140</v>
      </c>
      <c r="F90" cm="1">
        <f t="array" ref="F90">_xlfn.XLOOKUP(_xlfn.XLOOKUP(tblTags[[#This Row],[Tag]],db_drift!$B$2:$B$259,db_drift!$D$2:$D$259),tblInputTypes[[#All],[InputTypeName]],tblInputTypes[[#All],[InputTypeID]],"")</f>
        <v>2</v>
      </c>
      <c r="G90">
        <v>2</v>
      </c>
      <c r="H90">
        <v>3</v>
      </c>
      <c r="I90" t="str">
        <f>_xlfn.XLOOKUP(_xlfn.XLOOKUP(tblTags[[#This Row],[Tag]],db_drift!$B$2:$B$259,db_drift!$A$2:$A$259),tblDepartmentHeadings[DepartmentHeading],tblDepartmentHeadings[DepartmentHeadingID],"")</f>
        <v/>
      </c>
      <c r="J90">
        <v>9</v>
      </c>
      <c r="K90" t="str">
        <f>_xlfn.XLOOKUP(_xlfn.XLOOKUP(tblTags[[#This Row],[Tag]],db_drift!$B$2:$B$259,db_drift!$E$2:$E$259),tblFuelTypes[FuelType],tblFuelTypes[FuelTypeID],"")</f>
        <v/>
      </c>
      <c r="L90" t="str">
        <f>_xlfn.XLOOKUP(_xlfn.XLOOKUP(tblTags[[#This Row],[Tag]],db_drift!$B$2:$B$259,db_drift!$F$2:$F$259),tblFuelAllocations[FuelAllocation],tblFuelAllocations[FuelAllocationID],"")</f>
        <v/>
      </c>
      <c r="M90">
        <f>_xlfn.XLOOKUP(tblTags[[#This Row],[Tag]],tblHelpCalc1[Tag],tblHelpCalc1[Calc1ID],"")</f>
        <v>116</v>
      </c>
      <c r="N90">
        <f>_xlfn.XLOOKUP(tblTags[[#This Row],[Tag]],tblHelpCalc2[Tag],tblHelpCalc2[Calc2ID],"")</f>
        <v>14</v>
      </c>
      <c r="O90" s="2" t="str">
        <f>_xlfn.XLOOKUP(_xlfn.XLOOKUP(tblTags[[#This Row],[Tag]],tblDbDrift[Tag],tblDbDrift[Hide Tags]),tblHideTags[HideTag],tblHideTags[ID],"")</f>
        <v/>
      </c>
      <c r="P90" s="2"/>
      <c r="Q90" s="2" t="s">
        <v>661</v>
      </c>
      <c r="R90" s="2"/>
      <c r="S90" s="2"/>
      <c r="AS90">
        <v>80</v>
      </c>
      <c r="AT90" t="s">
        <v>308</v>
      </c>
      <c r="AU90" t="s">
        <v>585</v>
      </c>
    </row>
    <row r="91" spans="1:47" x14ac:dyDescent="0.2">
      <c r="A91">
        <v>81</v>
      </c>
      <c r="B91">
        <v>81</v>
      </c>
      <c r="C91" t="s">
        <v>153</v>
      </c>
      <c r="D91" t="s">
        <v>142</v>
      </c>
      <c r="E91" t="s">
        <v>142</v>
      </c>
      <c r="F91" cm="1">
        <f t="array" ref="F91">_xlfn.XLOOKUP(_xlfn.XLOOKUP(tblTags[[#This Row],[Tag]],db_drift!$B$2:$B$259,db_drift!$D$2:$D$259),tblInputTypes[[#All],[InputTypeName]],tblInputTypes[[#All],[InputTypeID]],"")</f>
        <v>2</v>
      </c>
      <c r="G91">
        <v>2</v>
      </c>
      <c r="H91">
        <v>3</v>
      </c>
      <c r="I91" t="str">
        <f>_xlfn.XLOOKUP(_xlfn.XLOOKUP(tblTags[[#This Row],[Tag]],db_drift!$B$2:$B$259,db_drift!$A$2:$A$259),tblDepartmentHeadings[DepartmentHeading],tblDepartmentHeadings[DepartmentHeadingID],"")</f>
        <v/>
      </c>
      <c r="J91">
        <v>9</v>
      </c>
      <c r="K91" t="str">
        <f>_xlfn.XLOOKUP(_xlfn.XLOOKUP(tblTags[[#This Row],[Tag]],db_drift!$B$2:$B$259,db_drift!$E$2:$E$259),tblFuelTypes[FuelType],tblFuelTypes[FuelTypeID],"")</f>
        <v/>
      </c>
      <c r="L91" t="str">
        <f>_xlfn.XLOOKUP(_xlfn.XLOOKUP(tblTags[[#This Row],[Tag]],db_drift!$B$2:$B$259,db_drift!$F$2:$F$259),tblFuelAllocations[FuelAllocation],tblFuelAllocations[FuelAllocationID],"")</f>
        <v/>
      </c>
      <c r="M91">
        <f>_xlfn.XLOOKUP(tblTags[[#This Row],[Tag]],tblHelpCalc1[Tag],tblHelpCalc1[Calc1ID],"")</f>
        <v>117</v>
      </c>
      <c r="N91">
        <f>_xlfn.XLOOKUP(tblTags[[#This Row],[Tag]],tblHelpCalc2[Tag],tblHelpCalc2[Calc2ID],"")</f>
        <v>15</v>
      </c>
      <c r="O91" s="2" t="str">
        <f>_xlfn.XLOOKUP(_xlfn.XLOOKUP(tblTags[[#This Row],[Tag]],tblDbDrift[Tag],tblDbDrift[Hide Tags]),tblHideTags[HideTag],tblHideTags[ID],"")</f>
        <v/>
      </c>
      <c r="P91" s="2"/>
      <c r="Q91" s="2" t="s">
        <v>662</v>
      </c>
      <c r="R91" s="2"/>
      <c r="S91" s="2"/>
      <c r="AS91">
        <v>81</v>
      </c>
      <c r="AT91" t="s">
        <v>309</v>
      </c>
      <c r="AU91" t="s">
        <v>167</v>
      </c>
    </row>
    <row r="92" spans="1:47" x14ac:dyDescent="0.2">
      <c r="A92">
        <v>82</v>
      </c>
      <c r="B92">
        <v>82</v>
      </c>
      <c r="C92" t="s">
        <v>154</v>
      </c>
      <c r="D92" t="s">
        <v>391</v>
      </c>
      <c r="E92" t="s">
        <v>391</v>
      </c>
      <c r="F92" cm="1">
        <f t="array" ref="F92">_xlfn.XLOOKUP(_xlfn.XLOOKUP(tblTags[[#This Row],[Tag]],db_drift!$B$2:$B$259,db_drift!$D$2:$D$259),tblInputTypes[[#All],[InputTypeName]],tblInputTypes[[#All],[InputTypeID]],"")</f>
        <v>2</v>
      </c>
      <c r="G92">
        <v>2</v>
      </c>
      <c r="H92">
        <v>3</v>
      </c>
      <c r="I92" t="str">
        <f>_xlfn.XLOOKUP(_xlfn.XLOOKUP(tblTags[[#This Row],[Tag]],db_drift!$B$2:$B$259,db_drift!$A$2:$A$259),tblDepartmentHeadings[DepartmentHeading],tblDepartmentHeadings[DepartmentHeadingID],"")</f>
        <v/>
      </c>
      <c r="J92">
        <v>9</v>
      </c>
      <c r="K92" t="str">
        <f>_xlfn.XLOOKUP(_xlfn.XLOOKUP(tblTags[[#This Row],[Tag]],db_drift!$B$2:$B$259,db_drift!$E$2:$E$259),tblFuelTypes[FuelType],tblFuelTypes[FuelTypeID],"")</f>
        <v/>
      </c>
      <c r="L92" t="str">
        <f>_xlfn.XLOOKUP(_xlfn.XLOOKUP(tblTags[[#This Row],[Tag]],db_drift!$B$2:$B$259,db_drift!$F$2:$F$259),tblFuelAllocations[FuelAllocation],tblFuelAllocations[FuelAllocationID],"")</f>
        <v/>
      </c>
      <c r="M92">
        <f>_xlfn.XLOOKUP(tblTags[[#This Row],[Tag]],tblHelpCalc1[Tag],tblHelpCalc1[Calc1ID],"")</f>
        <v>118</v>
      </c>
      <c r="N92">
        <f>_xlfn.XLOOKUP(tblTags[[#This Row],[Tag]],tblHelpCalc2[Tag],tblHelpCalc2[Calc2ID],"")</f>
        <v>16</v>
      </c>
      <c r="O92" s="2" t="str">
        <f>_xlfn.XLOOKUP(_xlfn.XLOOKUP(tblTags[[#This Row],[Tag]],tblDbDrift[Tag],tblDbDrift[Hide Tags]),tblHideTags[HideTag],tblHideTags[ID],"")</f>
        <v/>
      </c>
      <c r="P92" s="2"/>
      <c r="Q92" s="2" t="s">
        <v>663</v>
      </c>
      <c r="R92" s="2"/>
      <c r="S92" s="2"/>
      <c r="AS92">
        <v>82</v>
      </c>
      <c r="AT92" t="s">
        <v>310</v>
      </c>
      <c r="AU92" t="s">
        <v>168</v>
      </c>
    </row>
    <row r="93" spans="1:47" x14ac:dyDescent="0.2">
      <c r="A93">
        <v>83</v>
      </c>
      <c r="B93">
        <v>83</v>
      </c>
      <c r="C93" t="s">
        <v>155</v>
      </c>
      <c r="D93" t="s">
        <v>388</v>
      </c>
      <c r="E93" t="s">
        <v>388</v>
      </c>
      <c r="F93" cm="1">
        <f t="array" ref="F93">_xlfn.XLOOKUP(_xlfn.XLOOKUP(tblTags[[#This Row],[Tag]],db_drift!$B$2:$B$259,db_drift!$D$2:$D$259),tblInputTypes[[#All],[InputTypeName]],tblInputTypes[[#All],[InputTypeID]],"")</f>
        <v>2</v>
      </c>
      <c r="G93">
        <v>2</v>
      </c>
      <c r="H93">
        <v>3</v>
      </c>
      <c r="I93" t="str">
        <f>_xlfn.XLOOKUP(_xlfn.XLOOKUP(tblTags[[#This Row],[Tag]],db_drift!$B$2:$B$259,db_drift!$A$2:$A$259),tblDepartmentHeadings[DepartmentHeading],tblDepartmentHeadings[DepartmentHeadingID],"")</f>
        <v/>
      </c>
      <c r="J93">
        <v>9</v>
      </c>
      <c r="K93" t="str">
        <f>_xlfn.XLOOKUP(_xlfn.XLOOKUP(tblTags[[#This Row],[Tag]],db_drift!$B$2:$B$259,db_drift!$E$2:$E$259),tblFuelTypes[FuelType],tblFuelTypes[FuelTypeID],"")</f>
        <v/>
      </c>
      <c r="L93" t="str">
        <f>_xlfn.XLOOKUP(_xlfn.XLOOKUP(tblTags[[#This Row],[Tag]],db_drift!$B$2:$B$259,db_drift!$F$2:$F$259),tblFuelAllocations[FuelAllocation],tblFuelAllocations[FuelAllocationID],"")</f>
        <v/>
      </c>
      <c r="M93">
        <f>_xlfn.XLOOKUP(tblTags[[#This Row],[Tag]],tblHelpCalc1[Tag],tblHelpCalc1[Calc1ID],"")</f>
        <v>119</v>
      </c>
      <c r="N93">
        <f>_xlfn.XLOOKUP(tblTags[[#This Row],[Tag]],tblHelpCalc2[Tag],tblHelpCalc2[Calc2ID],"")</f>
        <v>17</v>
      </c>
      <c r="O93" s="2" t="str">
        <f>_xlfn.XLOOKUP(_xlfn.XLOOKUP(tblTags[[#This Row],[Tag]],tblDbDrift[Tag],tblDbDrift[Hide Tags]),tblHideTags[HideTag],tblHideTags[ID],"")</f>
        <v/>
      </c>
      <c r="P93" s="2"/>
      <c r="Q93" s="2" t="s">
        <v>664</v>
      </c>
      <c r="R93" s="2"/>
      <c r="S93" s="2"/>
      <c r="AS93">
        <v>83</v>
      </c>
      <c r="AT93" t="s">
        <v>311</v>
      </c>
      <c r="AU93" t="s">
        <v>169</v>
      </c>
    </row>
    <row r="94" spans="1:47" x14ac:dyDescent="0.2">
      <c r="A94">
        <v>84</v>
      </c>
      <c r="B94">
        <v>84</v>
      </c>
      <c r="C94" t="s">
        <v>156</v>
      </c>
      <c r="D94" t="s">
        <v>146</v>
      </c>
      <c r="E94" t="s">
        <v>146</v>
      </c>
      <c r="F94" cm="1">
        <f t="array" ref="F94">_xlfn.XLOOKUP(_xlfn.XLOOKUP(tblTags[[#This Row],[Tag]],db_drift!$B$2:$B$259,db_drift!$D$2:$D$259),tblInputTypes[[#All],[InputTypeName]],tblInputTypes[[#All],[InputTypeID]],"")</f>
        <v>2</v>
      </c>
      <c r="G94">
        <v>2</v>
      </c>
      <c r="H94">
        <v>3</v>
      </c>
      <c r="I94" t="str">
        <f>_xlfn.XLOOKUP(_xlfn.XLOOKUP(tblTags[[#This Row],[Tag]],db_drift!$B$2:$B$259,db_drift!$A$2:$A$259),tblDepartmentHeadings[DepartmentHeading],tblDepartmentHeadings[DepartmentHeadingID],"")</f>
        <v/>
      </c>
      <c r="J94">
        <v>4</v>
      </c>
      <c r="K94" t="str">
        <f>_xlfn.XLOOKUP(_xlfn.XLOOKUP(tblTags[[#This Row],[Tag]],db_drift!$B$2:$B$259,db_drift!$E$2:$E$259),tblFuelTypes[FuelType],tblFuelTypes[FuelTypeID],"")</f>
        <v/>
      </c>
      <c r="L94" t="str">
        <f>_xlfn.XLOOKUP(_xlfn.XLOOKUP(tblTags[[#This Row],[Tag]],db_drift!$B$2:$B$259,db_drift!$F$2:$F$259),tblFuelAllocations[FuelAllocation],tblFuelAllocations[FuelAllocationID],"")</f>
        <v/>
      </c>
      <c r="M94">
        <f>_xlfn.XLOOKUP(tblTags[[#This Row],[Tag]],tblHelpCalc1[Tag],tblHelpCalc1[Calc1ID],"")</f>
        <v>120</v>
      </c>
      <c r="N94">
        <f>_xlfn.XLOOKUP(tblTags[[#This Row],[Tag]],tblHelpCalc2[Tag],tblHelpCalc2[Calc2ID],"")</f>
        <v>18</v>
      </c>
      <c r="O94" s="2" t="str">
        <f>_xlfn.XLOOKUP(_xlfn.XLOOKUP(tblTags[[#This Row],[Tag]],tblDbDrift[Tag],tblDbDrift[Hide Tags]),tblHideTags[HideTag],tblHideTags[ID],"")</f>
        <v/>
      </c>
      <c r="P94" s="2"/>
      <c r="Q94" s="2" t="s">
        <v>665</v>
      </c>
      <c r="R94" s="2"/>
      <c r="S94" s="2"/>
      <c r="AS94">
        <v>84</v>
      </c>
      <c r="AT94" t="s">
        <v>312</v>
      </c>
      <c r="AU94" t="s">
        <v>170</v>
      </c>
    </row>
    <row r="95" spans="1:47" x14ac:dyDescent="0.2">
      <c r="A95">
        <v>85</v>
      </c>
      <c r="B95">
        <v>85</v>
      </c>
      <c r="C95" t="s">
        <v>157</v>
      </c>
      <c r="D95" t="s">
        <v>64</v>
      </c>
      <c r="E95" t="s">
        <v>64</v>
      </c>
      <c r="F95" cm="1">
        <f t="array" ref="F95">_xlfn.XLOOKUP(_xlfn.XLOOKUP(tblTags[[#This Row],[Tag]],db_drift!$B$2:$B$259,db_drift!$D$2:$D$259),tblInputTypes[[#All],[InputTypeName]],tblInputTypes[[#All],[InputTypeID]],"")</f>
        <v>2</v>
      </c>
      <c r="G95">
        <v>2</v>
      </c>
      <c r="H95">
        <v>3</v>
      </c>
      <c r="I95" t="str">
        <f>_xlfn.XLOOKUP(_xlfn.XLOOKUP(tblTags[[#This Row],[Tag]],db_drift!$B$2:$B$259,db_drift!$A$2:$A$259),tblDepartmentHeadings[DepartmentHeading],tblDepartmentHeadings[DepartmentHeadingID],"")</f>
        <v/>
      </c>
      <c r="J95">
        <v>5</v>
      </c>
      <c r="K95" t="str">
        <f>_xlfn.XLOOKUP(_xlfn.XLOOKUP(tblTags[[#This Row],[Tag]],db_drift!$B$2:$B$259,db_drift!$E$2:$E$259),tblFuelTypes[FuelType],tblFuelTypes[FuelTypeID],"")</f>
        <v/>
      </c>
      <c r="L95" t="str">
        <f>_xlfn.XLOOKUP(_xlfn.XLOOKUP(tblTags[[#This Row],[Tag]],db_drift!$B$2:$B$259,db_drift!$F$2:$F$259),tblFuelAllocations[FuelAllocation],tblFuelAllocations[FuelAllocationID],"")</f>
        <v/>
      </c>
      <c r="M95" t="str">
        <f>_xlfn.XLOOKUP(tblTags[[#This Row],[Tag]],tblHelpCalc1[Tag],tblHelpCalc1[Calc1ID],"")</f>
        <v/>
      </c>
      <c r="N95" t="str">
        <f>_xlfn.XLOOKUP(tblTags[[#This Row],[Tag]],tblHelpCalc2[Tag],tblHelpCalc2[Calc2ID],"")</f>
        <v/>
      </c>
      <c r="O95" s="2" t="str">
        <f>_xlfn.XLOOKUP(_xlfn.XLOOKUP(tblTags[[#This Row],[Tag]],tblDbDrift[Tag],tblDbDrift[Hide Tags]),tblHideTags[HideTag],tblHideTags[ID],"")</f>
        <v/>
      </c>
      <c r="P95" s="2"/>
      <c r="Q95" s="2" t="s">
        <v>669</v>
      </c>
      <c r="R95" s="2"/>
      <c r="S95" s="2"/>
      <c r="AS95">
        <v>85</v>
      </c>
      <c r="AT95" t="s">
        <v>313</v>
      </c>
      <c r="AU95" t="s">
        <v>171</v>
      </c>
    </row>
    <row r="96" spans="1:47" x14ac:dyDescent="0.2">
      <c r="A96">
        <v>86</v>
      </c>
      <c r="B96">
        <v>86</v>
      </c>
      <c r="C96" t="s">
        <v>158</v>
      </c>
      <c r="D96" t="s">
        <v>159</v>
      </c>
      <c r="E96" t="s">
        <v>159</v>
      </c>
      <c r="F96" cm="1">
        <f t="array" ref="F96">_xlfn.XLOOKUP(_xlfn.XLOOKUP(tblTags[[#This Row],[Tag]],db_drift!$B$2:$B$259,db_drift!$D$2:$D$259),tblInputTypes[[#All],[InputTypeName]],tblInputTypes[[#All],[InputTypeID]],"")</f>
        <v>2</v>
      </c>
      <c r="G96">
        <v>2</v>
      </c>
      <c r="H96">
        <v>3</v>
      </c>
      <c r="I96" t="str">
        <f>_xlfn.XLOOKUP(_xlfn.XLOOKUP(tblTags[[#This Row],[Tag]],db_drift!$B$2:$B$259,db_drift!$A$2:$A$259),tblDepartmentHeadings[DepartmentHeading],tblDepartmentHeadings[DepartmentHeadingID],"")</f>
        <v/>
      </c>
      <c r="J96">
        <v>3</v>
      </c>
      <c r="K96" t="str">
        <f>_xlfn.XLOOKUP(_xlfn.XLOOKUP(tblTags[[#This Row],[Tag]],db_drift!$B$2:$B$259,db_drift!$E$2:$E$259),tblFuelTypes[FuelType],tblFuelTypes[FuelTypeID],"")</f>
        <v/>
      </c>
      <c r="L96" t="str">
        <f>_xlfn.XLOOKUP(_xlfn.XLOOKUP(tblTags[[#This Row],[Tag]],db_drift!$B$2:$B$259,db_drift!$F$2:$F$259),tblFuelAllocations[FuelAllocation],tblFuelAllocations[FuelAllocationID],"")</f>
        <v/>
      </c>
      <c r="M96" t="str">
        <f>_xlfn.XLOOKUP(tblTags[[#This Row],[Tag]],tblHelpCalc1[Tag],tblHelpCalc1[Calc1ID],"")</f>
        <v/>
      </c>
      <c r="N96">
        <f>_xlfn.XLOOKUP(tblTags[[#This Row],[Tag]],tblHelpCalc2[Tag],tblHelpCalc2[Calc2ID],"")</f>
        <v>19</v>
      </c>
      <c r="O96" s="2" t="str">
        <f>_xlfn.XLOOKUP(_xlfn.XLOOKUP(tblTags[[#This Row],[Tag]],tblDbDrift[Tag],tblDbDrift[Hide Tags]),tblHideTags[HideTag],tblHideTags[ID],"")</f>
        <v/>
      </c>
      <c r="P96" s="2"/>
      <c r="Q96" s="2" t="s">
        <v>670</v>
      </c>
      <c r="R96" s="2"/>
      <c r="S96" s="2"/>
      <c r="AS96">
        <v>86</v>
      </c>
      <c r="AT96" t="s">
        <v>315</v>
      </c>
      <c r="AU96" t="s">
        <v>513</v>
      </c>
    </row>
    <row r="97" spans="1:47" x14ac:dyDescent="0.2">
      <c r="A97">
        <v>87</v>
      </c>
      <c r="B97">
        <v>87</v>
      </c>
      <c r="C97" t="s">
        <v>160</v>
      </c>
      <c r="D97" t="s">
        <v>161</v>
      </c>
      <c r="E97" t="s">
        <v>161</v>
      </c>
      <c r="F97" cm="1">
        <f t="array" ref="F97">_xlfn.XLOOKUP(_xlfn.XLOOKUP(tblTags[[#This Row],[Tag]],db_drift!$B$2:$B$259,db_drift!$D$2:$D$259),tblInputTypes[[#All],[InputTypeName]],tblInputTypes[[#All],[InputTypeID]],"")</f>
        <v>2</v>
      </c>
      <c r="G97">
        <v>2</v>
      </c>
      <c r="H97">
        <v>3</v>
      </c>
      <c r="I97" t="str">
        <f>_xlfn.XLOOKUP(_xlfn.XLOOKUP(tblTags[[#This Row],[Tag]],db_drift!$B$2:$B$259,db_drift!$A$2:$A$259),tblDepartmentHeadings[DepartmentHeading],tblDepartmentHeadings[DepartmentHeadingID],"")</f>
        <v/>
      </c>
      <c r="J97">
        <v>5</v>
      </c>
      <c r="K97" t="str">
        <f>_xlfn.XLOOKUP(_xlfn.XLOOKUP(tblTags[[#This Row],[Tag]],db_drift!$B$2:$B$259,db_drift!$E$2:$E$259),tblFuelTypes[FuelType],tblFuelTypes[FuelTypeID],"")</f>
        <v/>
      </c>
      <c r="L97" t="str">
        <f>_xlfn.XLOOKUP(_xlfn.XLOOKUP(tblTags[[#This Row],[Tag]],db_drift!$B$2:$B$259,db_drift!$F$2:$F$259),tblFuelAllocations[FuelAllocation],tblFuelAllocations[FuelAllocationID],"")</f>
        <v/>
      </c>
      <c r="M97" t="str">
        <f>_xlfn.XLOOKUP(tblTags[[#This Row],[Tag]],tblHelpCalc1[Tag],tblHelpCalc1[Calc1ID],"")</f>
        <v/>
      </c>
      <c r="N97">
        <f>_xlfn.XLOOKUP(tblTags[[#This Row],[Tag]],tblHelpCalc2[Tag],tblHelpCalc2[Calc2ID],"")</f>
        <v>20</v>
      </c>
      <c r="O97" s="2" t="str">
        <f>_xlfn.XLOOKUP(_xlfn.XLOOKUP(tblTags[[#This Row],[Tag]],tblDbDrift[Tag],tblDbDrift[Hide Tags]),tblHideTags[HideTag],tblHideTags[ID],"")</f>
        <v/>
      </c>
      <c r="P97" s="2"/>
      <c r="Q97" s="2" t="s">
        <v>671</v>
      </c>
      <c r="R97" s="2"/>
      <c r="S97" s="2"/>
      <c r="AS97">
        <v>87</v>
      </c>
      <c r="AT97" t="s">
        <v>488</v>
      </c>
      <c r="AU97" t="s">
        <v>515</v>
      </c>
    </row>
    <row r="98" spans="1:47" x14ac:dyDescent="0.2">
      <c r="A98">
        <v>88</v>
      </c>
      <c r="B98">
        <v>88</v>
      </c>
      <c r="C98" t="s">
        <v>162</v>
      </c>
      <c r="D98" t="s">
        <v>163</v>
      </c>
      <c r="E98" t="s">
        <v>163</v>
      </c>
      <c r="F98" cm="1">
        <f t="array" ref="F98">_xlfn.XLOOKUP(_xlfn.XLOOKUP(tblTags[[#This Row],[Tag]],db_drift!$B$2:$B$259,db_drift!$D$2:$D$259),tblInputTypes[[#All],[InputTypeName]],tblInputTypes[[#All],[InputTypeID]],"")</f>
        <v>1</v>
      </c>
      <c r="G98">
        <v>2</v>
      </c>
      <c r="H98">
        <v>3</v>
      </c>
      <c r="I98" t="str">
        <f>_xlfn.XLOOKUP(_xlfn.XLOOKUP(tblTags[[#This Row],[Tag]],db_drift!$B$2:$B$259,db_drift!$A$2:$A$259),tblDepartmentHeadings[DepartmentHeading],tblDepartmentHeadings[DepartmentHeadingID],"")</f>
        <v/>
      </c>
      <c r="J98">
        <v>5</v>
      </c>
      <c r="K98" t="str">
        <f>_xlfn.XLOOKUP(_xlfn.XLOOKUP(tblTags[[#This Row],[Tag]],db_drift!$B$2:$B$259,db_drift!$E$2:$E$259),tblFuelTypes[FuelType],tblFuelTypes[FuelTypeID],"")</f>
        <v/>
      </c>
      <c r="L98" t="str">
        <f>_xlfn.XLOOKUP(_xlfn.XLOOKUP(tblTags[[#This Row],[Tag]],db_drift!$B$2:$B$259,db_drift!$F$2:$F$259),tblFuelAllocations[FuelAllocation],tblFuelAllocations[FuelAllocationID],"")</f>
        <v/>
      </c>
      <c r="M98" t="str">
        <f>_xlfn.XLOOKUP(tblTags[[#This Row],[Tag]],tblHelpCalc1[Tag],tblHelpCalc1[Calc1ID],"")</f>
        <v/>
      </c>
      <c r="N98" t="str">
        <f>_xlfn.XLOOKUP(tblTags[[#This Row],[Tag]],tblHelpCalc2[Tag],tblHelpCalc2[Calc2ID],"")</f>
        <v/>
      </c>
      <c r="O98" s="2" t="str">
        <f>_xlfn.XLOOKUP(_xlfn.XLOOKUP(tblTags[[#This Row],[Tag]],tblDbDrift[Tag],tblDbDrift[Hide Tags]),tblHideTags[HideTag],tblHideTags[ID],"")</f>
        <v/>
      </c>
      <c r="P98" s="2"/>
      <c r="Q98" s="2" t="s">
        <v>672</v>
      </c>
      <c r="R98" s="2"/>
      <c r="S98" s="2"/>
      <c r="AS98">
        <v>88</v>
      </c>
      <c r="AT98" t="s">
        <v>322</v>
      </c>
      <c r="AU98" t="s">
        <v>589</v>
      </c>
    </row>
    <row r="99" spans="1:47" x14ac:dyDescent="0.2">
      <c r="A99">
        <v>89</v>
      </c>
      <c r="B99">
        <v>89</v>
      </c>
      <c r="C99" t="s">
        <v>29</v>
      </c>
      <c r="F99" t="str" cm="1">
        <f t="array" ref="F99">_xlfn.XLOOKUP(_xlfn.XLOOKUP(tblTags[[#This Row],[Tag]],db_drift!$B$2:$B$259,db_drift!$D$2:$D$259),tblInputTypes[[#All],[InputTypeName]],tblInputTypes[[#All],[InputTypeID]],"")</f>
        <v/>
      </c>
      <c r="G99">
        <v>2</v>
      </c>
      <c r="H99">
        <v>4</v>
      </c>
      <c r="I99" t="str">
        <f>_xlfn.XLOOKUP(_xlfn.XLOOKUP(tblTags[[#This Row],[Tag]],db_drift!$B$2:$B$259,db_drift!$A$2:$A$259),tblDepartmentHeadings[DepartmentHeading],tblDepartmentHeadings[DepartmentHeadingID],"")</f>
        <v/>
      </c>
      <c r="K99" t="str">
        <f>_xlfn.XLOOKUP(_xlfn.XLOOKUP(tblTags[[#This Row],[Tag]],db_drift!$B$2:$B$259,db_drift!$E$2:$E$259),tblFuelTypes[FuelType],tblFuelTypes[FuelTypeID],"")</f>
        <v/>
      </c>
      <c r="L99" t="str">
        <f>_xlfn.XLOOKUP(_xlfn.XLOOKUP(tblTags[[#This Row],[Tag]],db_drift!$B$2:$B$259,db_drift!$F$2:$F$259),tblFuelAllocations[FuelAllocation],tblFuelAllocations[FuelAllocationID],"")</f>
        <v/>
      </c>
      <c r="M99" t="str">
        <f>_xlfn.XLOOKUP(tblTags[[#This Row],[Tag]],tblHelpCalc1[Tag],tblHelpCalc1[Calc1ID],"")</f>
        <v/>
      </c>
      <c r="N99" t="str">
        <f>_xlfn.XLOOKUP(tblTags[[#This Row],[Tag]],tblHelpCalc2[Tag],tblHelpCalc2[Calc2ID],"")</f>
        <v/>
      </c>
      <c r="O99" s="2" t="str">
        <f>_xlfn.XLOOKUP(_xlfn.XLOOKUP(tblTags[[#This Row],[Tag]],tblDbDrift[Tag],tblDbDrift[Hide Tags]),tblHideTags[HideTag],tblHideTags[ID],"")</f>
        <v/>
      </c>
      <c r="P99" s="2"/>
      <c r="Q99" s="2" t="s">
        <v>673</v>
      </c>
      <c r="R99" s="2"/>
      <c r="S99" s="2"/>
      <c r="AS99">
        <v>89</v>
      </c>
      <c r="AT99" t="s">
        <v>108</v>
      </c>
      <c r="AU99" t="s">
        <v>198</v>
      </c>
    </row>
    <row r="100" spans="1:47" x14ac:dyDescent="0.2">
      <c r="A100">
        <v>90</v>
      </c>
      <c r="B100">
        <v>90</v>
      </c>
      <c r="C100" t="s">
        <v>164</v>
      </c>
      <c r="D100" t="s">
        <v>392</v>
      </c>
      <c r="E100" t="s">
        <v>392</v>
      </c>
      <c r="F100" cm="1">
        <f t="array" ref="F100">_xlfn.XLOOKUP(_xlfn.XLOOKUP(tblTags[[#This Row],[Tag]],db_drift!$B$2:$B$259,db_drift!$D$2:$D$259),tblInputTypes[[#All],[InputTypeName]],tblInputTypes[[#All],[InputTypeID]],"")</f>
        <v>2</v>
      </c>
      <c r="G100">
        <v>2</v>
      </c>
      <c r="H100">
        <v>4</v>
      </c>
      <c r="I100">
        <f>_xlfn.XLOOKUP(_xlfn.XLOOKUP(tblTags[[#This Row],[Tag]],db_drift!$B$2:$B$259,db_drift!$A$2:$A$259),tblDepartmentHeadings[DepartmentHeading],tblDepartmentHeadings[DepartmentHeadingID],"")</f>
        <v>8</v>
      </c>
      <c r="J100">
        <v>3</v>
      </c>
      <c r="K100" t="str">
        <f>_xlfn.XLOOKUP(_xlfn.XLOOKUP(tblTags[[#This Row],[Tag]],db_drift!$B$2:$B$259,db_drift!$E$2:$E$259),tblFuelTypes[FuelType],tblFuelTypes[FuelTypeID],"")</f>
        <v/>
      </c>
      <c r="L100" t="str">
        <f>_xlfn.XLOOKUP(_xlfn.XLOOKUP(tblTags[[#This Row],[Tag]],db_drift!$B$2:$B$259,db_drift!$F$2:$F$259),tblFuelAllocations[FuelAllocation],tblFuelAllocations[FuelAllocationID],"")</f>
        <v/>
      </c>
      <c r="M100" t="str">
        <f>_xlfn.XLOOKUP(tblTags[[#This Row],[Tag]],tblHelpCalc1[Tag],tblHelpCalc1[Calc1ID],"")</f>
        <v/>
      </c>
      <c r="N100">
        <f>_xlfn.XLOOKUP(tblTags[[#This Row],[Tag]],tblHelpCalc2[Tag],tblHelpCalc2[Calc2ID],"")</f>
        <v>21</v>
      </c>
      <c r="O100" s="2" t="str">
        <f>_xlfn.XLOOKUP(_xlfn.XLOOKUP(tblTags[[#This Row],[Tag]],tblDbDrift[Tag],tblDbDrift[Hide Tags]),tblHideTags[HideTag],tblHideTags[ID],"")</f>
        <v/>
      </c>
      <c r="P100" s="2"/>
      <c r="Q100" s="2" t="s">
        <v>674</v>
      </c>
      <c r="R100" s="2"/>
      <c r="S100" s="2"/>
      <c r="AS100">
        <v>90</v>
      </c>
      <c r="AT100" t="s">
        <v>110</v>
      </c>
      <c r="AU100" t="s">
        <v>838</v>
      </c>
    </row>
    <row r="101" spans="1:47" x14ac:dyDescent="0.2">
      <c r="A101">
        <v>91</v>
      </c>
      <c r="B101">
        <v>91</v>
      </c>
      <c r="C101" t="s">
        <v>165</v>
      </c>
      <c r="D101" t="s">
        <v>134</v>
      </c>
      <c r="E101" t="s">
        <v>134</v>
      </c>
      <c r="F101" cm="1">
        <f t="array" ref="F101">_xlfn.XLOOKUP(_xlfn.XLOOKUP(tblTags[[#This Row],[Tag]],db_drift!$B$2:$B$259,db_drift!$D$2:$D$259),tblInputTypes[[#All],[InputTypeName]],tblInputTypes[[#All],[InputTypeID]],"")</f>
        <v>2</v>
      </c>
      <c r="G101">
        <v>2</v>
      </c>
      <c r="H101">
        <v>4</v>
      </c>
      <c r="I101" t="str">
        <f>_xlfn.XLOOKUP(_xlfn.XLOOKUP(tblTags[[#This Row],[Tag]],db_drift!$B$2:$B$259,db_drift!$A$2:$A$259),tblDepartmentHeadings[DepartmentHeading],tblDepartmentHeadings[DepartmentHeadingID],"")</f>
        <v/>
      </c>
      <c r="J101">
        <v>9</v>
      </c>
      <c r="K101" t="str">
        <f>_xlfn.XLOOKUP(_xlfn.XLOOKUP(tblTags[[#This Row],[Tag]],db_drift!$B$2:$B$259,db_drift!$E$2:$E$259),tblFuelTypes[FuelType],tblFuelTypes[FuelTypeID],"")</f>
        <v/>
      </c>
      <c r="L101" t="str">
        <f>_xlfn.XLOOKUP(_xlfn.XLOOKUP(tblTags[[#This Row],[Tag]],db_drift!$B$2:$B$259,db_drift!$F$2:$F$259),tblFuelAllocations[FuelAllocation],tblFuelAllocations[FuelAllocationID],"")</f>
        <v/>
      </c>
      <c r="M101" t="str">
        <f>_xlfn.XLOOKUP(tblTags[[#This Row],[Tag]],tblHelpCalc1[Tag],tblHelpCalc1[Calc1ID],"")</f>
        <v/>
      </c>
      <c r="N101">
        <f>_xlfn.XLOOKUP(tblTags[[#This Row],[Tag]],tblHelpCalc2[Tag],tblHelpCalc2[Calc2ID],"")</f>
        <v>22</v>
      </c>
      <c r="O101" s="2" t="str">
        <f>_xlfn.XLOOKUP(_xlfn.XLOOKUP(tblTags[[#This Row],[Tag]],tblDbDrift[Tag],tblDbDrift[Hide Tags]),tblHideTags[HideTag],tblHideTags[ID],"")</f>
        <v/>
      </c>
      <c r="P101" s="2"/>
      <c r="Q101" s="2" t="s">
        <v>658</v>
      </c>
      <c r="R101" s="2"/>
      <c r="S101" s="2"/>
      <c r="AS101">
        <v>91</v>
      </c>
      <c r="AT101" t="s">
        <v>112</v>
      </c>
      <c r="AU101" t="s">
        <v>838</v>
      </c>
    </row>
    <row r="102" spans="1:47" x14ac:dyDescent="0.2">
      <c r="A102">
        <v>92</v>
      </c>
      <c r="B102">
        <v>92</v>
      </c>
      <c r="C102" t="s">
        <v>166</v>
      </c>
      <c r="D102" t="s">
        <v>136</v>
      </c>
      <c r="E102" t="s">
        <v>136</v>
      </c>
      <c r="F102" cm="1">
        <f t="array" ref="F102">_xlfn.XLOOKUP(_xlfn.XLOOKUP(tblTags[[#This Row],[Tag]],db_drift!$B$2:$B$259,db_drift!$D$2:$D$259),tblInputTypes[[#All],[InputTypeName]],tblInputTypes[[#All],[InputTypeID]],"")</f>
        <v>2</v>
      </c>
      <c r="G102">
        <v>2</v>
      </c>
      <c r="H102">
        <v>4</v>
      </c>
      <c r="I102" t="str">
        <f>_xlfn.XLOOKUP(_xlfn.XLOOKUP(tblTags[[#This Row],[Tag]],db_drift!$B$2:$B$259,db_drift!$A$2:$A$259),tblDepartmentHeadings[DepartmentHeading],tblDepartmentHeadings[DepartmentHeadingID],"")</f>
        <v/>
      </c>
      <c r="J102">
        <v>9</v>
      </c>
      <c r="K102" t="str">
        <f>_xlfn.XLOOKUP(_xlfn.XLOOKUP(tblTags[[#This Row],[Tag]],db_drift!$B$2:$B$259,db_drift!$E$2:$E$259),tblFuelTypes[FuelType],tblFuelTypes[FuelTypeID],"")</f>
        <v/>
      </c>
      <c r="L102" t="str">
        <f>_xlfn.XLOOKUP(_xlfn.XLOOKUP(tblTags[[#This Row],[Tag]],db_drift!$B$2:$B$259,db_drift!$F$2:$F$259),tblFuelAllocations[FuelAllocation],tblFuelAllocations[FuelAllocationID],"")</f>
        <v/>
      </c>
      <c r="M102" t="str">
        <f>_xlfn.XLOOKUP(tblTags[[#This Row],[Tag]],tblHelpCalc1[Tag],tblHelpCalc1[Calc1ID],"")</f>
        <v/>
      </c>
      <c r="N102">
        <f>_xlfn.XLOOKUP(tblTags[[#This Row],[Tag]],tblHelpCalc2[Tag],tblHelpCalc2[Calc2ID],"")</f>
        <v>23</v>
      </c>
      <c r="O102" s="2" t="str">
        <f>_xlfn.XLOOKUP(_xlfn.XLOOKUP(tblTags[[#This Row],[Tag]],tblDbDrift[Tag],tblDbDrift[Hide Tags]),tblHideTags[HideTag],tblHideTags[ID],"")</f>
        <v/>
      </c>
      <c r="P102" s="2"/>
      <c r="Q102" s="2" t="s">
        <v>659</v>
      </c>
      <c r="R102" s="2"/>
      <c r="S102" s="2"/>
      <c r="AS102">
        <v>92</v>
      </c>
      <c r="AT102" t="s">
        <v>114</v>
      </c>
      <c r="AU102" t="s">
        <v>840</v>
      </c>
    </row>
    <row r="103" spans="1:47" x14ac:dyDescent="0.2">
      <c r="A103">
        <v>93</v>
      </c>
      <c r="B103">
        <v>93</v>
      </c>
      <c r="C103" t="s">
        <v>167</v>
      </c>
      <c r="D103" t="s">
        <v>138</v>
      </c>
      <c r="E103" t="s">
        <v>138</v>
      </c>
      <c r="F103" cm="1">
        <f t="array" ref="F103">_xlfn.XLOOKUP(_xlfn.XLOOKUP(tblTags[[#This Row],[Tag]],db_drift!$B$2:$B$259,db_drift!$D$2:$D$259),tblInputTypes[[#All],[InputTypeName]],tblInputTypes[[#All],[InputTypeID]],"")</f>
        <v>2</v>
      </c>
      <c r="G103">
        <v>2</v>
      </c>
      <c r="H103">
        <v>4</v>
      </c>
      <c r="I103" t="str">
        <f>_xlfn.XLOOKUP(_xlfn.XLOOKUP(tblTags[[#This Row],[Tag]],db_drift!$B$2:$B$259,db_drift!$A$2:$A$259),tblDepartmentHeadings[DepartmentHeading],tblDepartmentHeadings[DepartmentHeadingID],"")</f>
        <v/>
      </c>
      <c r="J103">
        <v>9</v>
      </c>
      <c r="K103" t="str">
        <f>_xlfn.XLOOKUP(_xlfn.XLOOKUP(tblTags[[#This Row],[Tag]],db_drift!$B$2:$B$259,db_drift!$E$2:$E$259),tblFuelTypes[FuelType],tblFuelTypes[FuelTypeID],"")</f>
        <v/>
      </c>
      <c r="L103" t="str">
        <f>_xlfn.XLOOKUP(_xlfn.XLOOKUP(tblTags[[#This Row],[Tag]],db_drift!$B$2:$B$259,db_drift!$F$2:$F$259),tblFuelAllocations[FuelAllocation],tblFuelAllocations[FuelAllocationID],"")</f>
        <v/>
      </c>
      <c r="M103">
        <f>_xlfn.XLOOKUP(tblTags[[#This Row],[Tag]],tblHelpCalc1[Tag],tblHelpCalc1[Calc1ID],"")</f>
        <v>121</v>
      </c>
      <c r="N103">
        <f>_xlfn.XLOOKUP(tblTags[[#This Row],[Tag]],tblHelpCalc2[Tag],tblHelpCalc2[Calc2ID],"")</f>
        <v>24</v>
      </c>
      <c r="O103" s="2" t="str">
        <f>_xlfn.XLOOKUP(_xlfn.XLOOKUP(tblTags[[#This Row],[Tag]],tblDbDrift[Tag],tblDbDrift[Hide Tags]),tblHideTags[HideTag],tblHideTags[ID],"")</f>
        <v/>
      </c>
      <c r="P103" s="2"/>
      <c r="Q103" s="2" t="s">
        <v>660</v>
      </c>
      <c r="R103" s="2"/>
      <c r="S103" s="2"/>
      <c r="AS103">
        <v>93</v>
      </c>
      <c r="AT103" t="s">
        <v>116</v>
      </c>
      <c r="AU103" t="s">
        <v>839</v>
      </c>
    </row>
    <row r="104" spans="1:47" x14ac:dyDescent="0.2">
      <c r="A104">
        <v>94</v>
      </c>
      <c r="B104">
        <v>94</v>
      </c>
      <c r="C104" t="s">
        <v>168</v>
      </c>
      <c r="D104" t="s">
        <v>142</v>
      </c>
      <c r="E104" t="s">
        <v>142</v>
      </c>
      <c r="F104" cm="1">
        <f t="array" ref="F104">_xlfn.XLOOKUP(_xlfn.XLOOKUP(tblTags[[#This Row],[Tag]],db_drift!$B$2:$B$259,db_drift!$D$2:$D$259),tblInputTypes[[#All],[InputTypeName]],tblInputTypes[[#All],[InputTypeID]],"")</f>
        <v>2</v>
      </c>
      <c r="G104">
        <v>2</v>
      </c>
      <c r="H104">
        <v>4</v>
      </c>
      <c r="I104" t="str">
        <f>_xlfn.XLOOKUP(_xlfn.XLOOKUP(tblTags[[#This Row],[Tag]],db_drift!$B$2:$B$259,db_drift!$A$2:$A$259),tblDepartmentHeadings[DepartmentHeading],tblDepartmentHeadings[DepartmentHeadingID],"")</f>
        <v/>
      </c>
      <c r="J104">
        <v>9</v>
      </c>
      <c r="K104" t="str">
        <f>_xlfn.XLOOKUP(_xlfn.XLOOKUP(tblTags[[#This Row],[Tag]],db_drift!$B$2:$B$259,db_drift!$E$2:$E$259),tblFuelTypes[FuelType],tblFuelTypes[FuelTypeID],"")</f>
        <v/>
      </c>
      <c r="L104" t="str">
        <f>_xlfn.XLOOKUP(_xlfn.XLOOKUP(tblTags[[#This Row],[Tag]],db_drift!$B$2:$B$259,db_drift!$F$2:$F$259),tblFuelAllocations[FuelAllocation],tblFuelAllocations[FuelAllocationID],"")</f>
        <v/>
      </c>
      <c r="M104">
        <f>_xlfn.XLOOKUP(tblTags[[#This Row],[Tag]],tblHelpCalc1[Tag],tblHelpCalc1[Calc1ID],"")</f>
        <v>122</v>
      </c>
      <c r="N104">
        <f>_xlfn.XLOOKUP(tblTags[[#This Row],[Tag]],tblHelpCalc2[Tag],tblHelpCalc2[Calc2ID],"")</f>
        <v>25</v>
      </c>
      <c r="O104" s="2" t="str">
        <f>_xlfn.XLOOKUP(_xlfn.XLOOKUP(tblTags[[#This Row],[Tag]],tblDbDrift[Tag],tblDbDrift[Hide Tags]),tblHideTags[HideTag],tblHideTags[ID],"")</f>
        <v/>
      </c>
      <c r="P104" s="2"/>
      <c r="Q104" s="2" t="s">
        <v>662</v>
      </c>
      <c r="R104" s="2"/>
      <c r="S104" s="2"/>
      <c r="AS104">
        <v>94</v>
      </c>
      <c r="AT104" t="s">
        <v>118</v>
      </c>
      <c r="AU104" t="s">
        <v>839</v>
      </c>
    </row>
    <row r="105" spans="1:47" x14ac:dyDescent="0.2">
      <c r="A105">
        <v>95</v>
      </c>
      <c r="B105">
        <v>95</v>
      </c>
      <c r="C105" t="s">
        <v>169</v>
      </c>
      <c r="D105" t="s">
        <v>391</v>
      </c>
      <c r="E105" t="s">
        <v>391</v>
      </c>
      <c r="F105" cm="1">
        <f t="array" ref="F105">_xlfn.XLOOKUP(_xlfn.XLOOKUP(tblTags[[#This Row],[Tag]],db_drift!$B$2:$B$259,db_drift!$D$2:$D$259),tblInputTypes[[#All],[InputTypeName]],tblInputTypes[[#All],[InputTypeID]],"")</f>
        <v>2</v>
      </c>
      <c r="G105">
        <v>2</v>
      </c>
      <c r="H105">
        <v>4</v>
      </c>
      <c r="I105" t="str">
        <f>_xlfn.XLOOKUP(_xlfn.XLOOKUP(tblTags[[#This Row],[Tag]],db_drift!$B$2:$B$259,db_drift!$A$2:$A$259),tblDepartmentHeadings[DepartmentHeading],tblDepartmentHeadings[DepartmentHeadingID],"")</f>
        <v/>
      </c>
      <c r="J105">
        <v>9</v>
      </c>
      <c r="K105" t="str">
        <f>_xlfn.XLOOKUP(_xlfn.XLOOKUP(tblTags[[#This Row],[Tag]],db_drift!$B$2:$B$259,db_drift!$E$2:$E$259),tblFuelTypes[FuelType],tblFuelTypes[FuelTypeID],"")</f>
        <v/>
      </c>
      <c r="L105" t="str">
        <f>_xlfn.XLOOKUP(_xlfn.XLOOKUP(tblTags[[#This Row],[Tag]],db_drift!$B$2:$B$259,db_drift!$F$2:$F$259),tblFuelAllocations[FuelAllocation],tblFuelAllocations[FuelAllocationID],"")</f>
        <v/>
      </c>
      <c r="M105">
        <f>_xlfn.XLOOKUP(tblTags[[#This Row],[Tag]],tblHelpCalc1[Tag],tblHelpCalc1[Calc1ID],"")</f>
        <v>123</v>
      </c>
      <c r="N105">
        <f>_xlfn.XLOOKUP(tblTags[[#This Row],[Tag]],tblHelpCalc2[Tag],tblHelpCalc2[Calc2ID],"")</f>
        <v>26</v>
      </c>
      <c r="O105" s="2" t="str">
        <f>_xlfn.XLOOKUP(_xlfn.XLOOKUP(tblTags[[#This Row],[Tag]],tblDbDrift[Tag],tblDbDrift[Hide Tags]),tblHideTags[HideTag],tblHideTags[ID],"")</f>
        <v/>
      </c>
      <c r="P105" s="2"/>
      <c r="Q105" s="2" t="s">
        <v>663</v>
      </c>
      <c r="R105" s="2"/>
      <c r="S105" s="2"/>
      <c r="AS105">
        <v>95</v>
      </c>
      <c r="AT105" t="s">
        <v>120</v>
      </c>
      <c r="AU105" t="s">
        <v>210</v>
      </c>
    </row>
    <row r="106" spans="1:47" x14ac:dyDescent="0.2">
      <c r="A106">
        <v>96</v>
      </c>
      <c r="B106">
        <v>96</v>
      </c>
      <c r="C106" t="s">
        <v>170</v>
      </c>
      <c r="D106" t="s">
        <v>388</v>
      </c>
      <c r="E106" t="s">
        <v>388</v>
      </c>
      <c r="F106" cm="1">
        <f t="array" ref="F106">_xlfn.XLOOKUP(_xlfn.XLOOKUP(tblTags[[#This Row],[Tag]],db_drift!$B$2:$B$259,db_drift!$D$2:$D$259),tblInputTypes[[#All],[InputTypeName]],tblInputTypes[[#All],[InputTypeID]],"")</f>
        <v>2</v>
      </c>
      <c r="G106">
        <v>2</v>
      </c>
      <c r="H106">
        <v>4</v>
      </c>
      <c r="I106" t="str">
        <f>_xlfn.XLOOKUP(_xlfn.XLOOKUP(tblTags[[#This Row],[Tag]],db_drift!$B$2:$B$259,db_drift!$A$2:$A$259),tblDepartmentHeadings[DepartmentHeading],tblDepartmentHeadings[DepartmentHeadingID],"")</f>
        <v/>
      </c>
      <c r="J106">
        <v>9</v>
      </c>
      <c r="K106" t="str">
        <f>_xlfn.XLOOKUP(_xlfn.XLOOKUP(tblTags[[#This Row],[Tag]],db_drift!$B$2:$B$259,db_drift!$E$2:$E$259),tblFuelTypes[FuelType],tblFuelTypes[FuelTypeID],"")</f>
        <v/>
      </c>
      <c r="L106" t="str">
        <f>_xlfn.XLOOKUP(_xlfn.XLOOKUP(tblTags[[#This Row],[Tag]],db_drift!$B$2:$B$259,db_drift!$F$2:$F$259),tblFuelAllocations[FuelAllocation],tblFuelAllocations[FuelAllocationID],"")</f>
        <v/>
      </c>
      <c r="M106">
        <f>_xlfn.XLOOKUP(tblTags[[#This Row],[Tag]],tblHelpCalc1[Tag],tblHelpCalc1[Calc1ID],"")</f>
        <v>124</v>
      </c>
      <c r="N106">
        <f>_xlfn.XLOOKUP(tblTags[[#This Row],[Tag]],tblHelpCalc2[Tag],tblHelpCalc2[Calc2ID],"")</f>
        <v>27</v>
      </c>
      <c r="O106" s="2" t="str">
        <f>_xlfn.XLOOKUP(_xlfn.XLOOKUP(tblTags[[#This Row],[Tag]],tblDbDrift[Tag],tblDbDrift[Hide Tags]),tblHideTags[HideTag],tblHideTags[ID],"")</f>
        <v/>
      </c>
      <c r="P106" s="2"/>
      <c r="Q106" s="2" t="s">
        <v>664</v>
      </c>
      <c r="R106" s="2"/>
      <c r="S106" s="2"/>
      <c r="AS106">
        <v>96</v>
      </c>
      <c r="AT106" t="s">
        <v>122</v>
      </c>
      <c r="AU106" t="s">
        <v>841</v>
      </c>
    </row>
    <row r="107" spans="1:47" x14ac:dyDescent="0.2">
      <c r="A107">
        <v>97</v>
      </c>
      <c r="B107">
        <v>97</v>
      </c>
      <c r="C107" t="s">
        <v>171</v>
      </c>
      <c r="D107" t="s">
        <v>146</v>
      </c>
      <c r="E107" t="s">
        <v>146</v>
      </c>
      <c r="F107" cm="1">
        <f t="array" ref="F107">_xlfn.XLOOKUP(_xlfn.XLOOKUP(tblTags[[#This Row],[Tag]],db_drift!$B$2:$B$259,db_drift!$D$2:$D$259),tblInputTypes[[#All],[InputTypeName]],tblInputTypes[[#All],[InputTypeID]],"")</f>
        <v>2</v>
      </c>
      <c r="G107">
        <v>2</v>
      </c>
      <c r="H107">
        <v>4</v>
      </c>
      <c r="I107" t="str">
        <f>_xlfn.XLOOKUP(_xlfn.XLOOKUP(tblTags[[#This Row],[Tag]],db_drift!$B$2:$B$259,db_drift!$A$2:$A$259),tblDepartmentHeadings[DepartmentHeading],tblDepartmentHeadings[DepartmentHeadingID],"")</f>
        <v/>
      </c>
      <c r="J107">
        <v>4</v>
      </c>
      <c r="K107" t="str">
        <f>_xlfn.XLOOKUP(_xlfn.XLOOKUP(tblTags[[#This Row],[Tag]],db_drift!$B$2:$B$259,db_drift!$E$2:$E$259),tblFuelTypes[FuelType],tblFuelTypes[FuelTypeID],"")</f>
        <v/>
      </c>
      <c r="L107" t="str">
        <f>_xlfn.XLOOKUP(_xlfn.XLOOKUP(tblTags[[#This Row],[Tag]],db_drift!$B$2:$B$259,db_drift!$F$2:$F$259),tblFuelAllocations[FuelAllocation],tblFuelAllocations[FuelAllocationID],"")</f>
        <v/>
      </c>
      <c r="M107">
        <f>_xlfn.XLOOKUP(tblTags[[#This Row],[Tag]],tblHelpCalc1[Tag],tblHelpCalc1[Calc1ID],"")</f>
        <v>125</v>
      </c>
      <c r="N107">
        <f>_xlfn.XLOOKUP(tblTags[[#This Row],[Tag]],tblHelpCalc2[Tag],tblHelpCalc2[Calc2ID],"")</f>
        <v>28</v>
      </c>
      <c r="O107" s="2" t="str">
        <f>_xlfn.XLOOKUP(_xlfn.XLOOKUP(tblTags[[#This Row],[Tag]],tblDbDrift[Tag],tblDbDrift[Hide Tags]),tblHideTags[HideTag],tblHideTags[ID],"")</f>
        <v/>
      </c>
      <c r="P107" s="2"/>
      <c r="Q107" s="2" t="s">
        <v>665</v>
      </c>
      <c r="R107" s="2"/>
      <c r="S107" s="2"/>
      <c r="AS107">
        <v>97</v>
      </c>
      <c r="AT107" t="s">
        <v>124</v>
      </c>
      <c r="AU107" t="s">
        <v>125</v>
      </c>
    </row>
    <row r="108" spans="1:47" x14ac:dyDescent="0.2">
      <c r="A108">
        <v>98</v>
      </c>
      <c r="B108">
        <v>98</v>
      </c>
      <c r="C108" t="s">
        <v>172</v>
      </c>
      <c r="D108" t="s">
        <v>64</v>
      </c>
      <c r="E108" t="s">
        <v>64</v>
      </c>
      <c r="F108" cm="1">
        <f t="array" ref="F108">_xlfn.XLOOKUP(_xlfn.XLOOKUP(tblTags[[#This Row],[Tag]],db_drift!$B$2:$B$259,db_drift!$D$2:$D$259),tblInputTypes[[#All],[InputTypeName]],tblInputTypes[[#All],[InputTypeID]],"")</f>
        <v>2</v>
      </c>
      <c r="G108">
        <v>2</v>
      </c>
      <c r="H108">
        <v>4</v>
      </c>
      <c r="I108" t="str">
        <f>_xlfn.XLOOKUP(_xlfn.XLOOKUP(tblTags[[#This Row],[Tag]],db_drift!$B$2:$B$259,db_drift!$A$2:$A$259),tblDepartmentHeadings[DepartmentHeading],tblDepartmentHeadings[DepartmentHeadingID],"")</f>
        <v/>
      </c>
      <c r="J108">
        <v>5</v>
      </c>
      <c r="K108" t="str">
        <f>_xlfn.XLOOKUP(_xlfn.XLOOKUP(tblTags[[#This Row],[Tag]],db_drift!$B$2:$B$259,db_drift!$E$2:$E$259),tblFuelTypes[FuelType],tblFuelTypes[FuelTypeID],"")</f>
        <v/>
      </c>
      <c r="L108" t="str">
        <f>_xlfn.XLOOKUP(_xlfn.XLOOKUP(tblTags[[#This Row],[Tag]],db_drift!$B$2:$B$259,db_drift!$F$2:$F$259),tblFuelAllocations[FuelAllocation],tblFuelAllocations[FuelAllocationID],"")</f>
        <v/>
      </c>
      <c r="M108" t="str">
        <f>_xlfn.XLOOKUP(tblTags[[#This Row],[Tag]],tblHelpCalc1[Tag],tblHelpCalc1[Calc1ID],"")</f>
        <v/>
      </c>
      <c r="N108" t="str">
        <f>_xlfn.XLOOKUP(tblTags[[#This Row],[Tag]],tblHelpCalc2[Tag],tblHelpCalc2[Calc2ID],"")</f>
        <v/>
      </c>
      <c r="O108" s="2" t="str">
        <f>_xlfn.XLOOKUP(_xlfn.XLOOKUP(tblTags[[#This Row],[Tag]],tblDbDrift[Tag],tblDbDrift[Hide Tags]),tblHideTags[HideTag],tblHideTags[ID],"")</f>
        <v/>
      </c>
      <c r="P108" s="2"/>
      <c r="Q108" s="2" t="s">
        <v>675</v>
      </c>
      <c r="R108" s="2"/>
      <c r="S108" s="2"/>
      <c r="AS108">
        <v>98</v>
      </c>
      <c r="AT108" t="s">
        <v>126</v>
      </c>
      <c r="AU108" t="s">
        <v>229</v>
      </c>
    </row>
    <row r="109" spans="1:47" x14ac:dyDescent="0.2">
      <c r="A109">
        <v>99</v>
      </c>
      <c r="B109">
        <v>99</v>
      </c>
      <c r="C109" t="s">
        <v>173</v>
      </c>
      <c r="D109" t="s">
        <v>159</v>
      </c>
      <c r="E109" t="s">
        <v>159</v>
      </c>
      <c r="F109" cm="1">
        <f t="array" ref="F109">_xlfn.XLOOKUP(_xlfn.XLOOKUP(tblTags[[#This Row],[Tag]],db_drift!$B$2:$B$259,db_drift!$D$2:$D$259),tblInputTypes[[#All],[InputTypeName]],tblInputTypes[[#All],[InputTypeID]],"")</f>
        <v>2</v>
      </c>
      <c r="G109">
        <v>2</v>
      </c>
      <c r="H109">
        <v>4</v>
      </c>
      <c r="I109" t="str">
        <f>_xlfn.XLOOKUP(_xlfn.XLOOKUP(tblTags[[#This Row],[Tag]],db_drift!$B$2:$B$259,db_drift!$A$2:$A$259),tblDepartmentHeadings[DepartmentHeading],tblDepartmentHeadings[DepartmentHeadingID],"")</f>
        <v/>
      </c>
      <c r="J109">
        <v>3</v>
      </c>
      <c r="K109" t="str">
        <f>_xlfn.XLOOKUP(_xlfn.XLOOKUP(tblTags[[#This Row],[Tag]],db_drift!$B$2:$B$259,db_drift!$E$2:$E$259),tblFuelTypes[FuelType],tblFuelTypes[FuelTypeID],"")</f>
        <v/>
      </c>
      <c r="L109" t="str">
        <f>_xlfn.XLOOKUP(_xlfn.XLOOKUP(tblTags[[#This Row],[Tag]],db_drift!$B$2:$B$259,db_drift!$F$2:$F$259),tblFuelAllocations[FuelAllocation],tblFuelAllocations[FuelAllocationID],"")</f>
        <v/>
      </c>
      <c r="M109" t="str">
        <f>_xlfn.XLOOKUP(tblTags[[#This Row],[Tag]],tblHelpCalc1[Tag],tblHelpCalc1[Calc1ID],"")</f>
        <v/>
      </c>
      <c r="N109">
        <f>_xlfn.XLOOKUP(tblTags[[#This Row],[Tag]],tblHelpCalc2[Tag],tblHelpCalc2[Calc2ID],"")</f>
        <v>29</v>
      </c>
      <c r="O109" s="2" t="str">
        <f>_xlfn.XLOOKUP(_xlfn.XLOOKUP(tblTags[[#This Row],[Tag]],tblDbDrift[Tag],tblDbDrift[Hide Tags]),tblHideTags[HideTag],tblHideTags[ID],"")</f>
        <v/>
      </c>
      <c r="P109" s="2"/>
      <c r="Q109" s="2" t="s">
        <v>670</v>
      </c>
      <c r="R109" s="2"/>
      <c r="S109" s="2"/>
      <c r="AS109">
        <v>99</v>
      </c>
      <c r="AT109" t="s">
        <v>128</v>
      </c>
      <c r="AU109" t="s">
        <v>839</v>
      </c>
    </row>
    <row r="110" spans="1:47" x14ac:dyDescent="0.2">
      <c r="A110">
        <v>100</v>
      </c>
      <c r="B110">
        <v>100</v>
      </c>
      <c r="C110" t="s">
        <v>174</v>
      </c>
      <c r="D110" t="s">
        <v>161</v>
      </c>
      <c r="E110" t="s">
        <v>161</v>
      </c>
      <c r="F110" cm="1">
        <f t="array" ref="F110">_xlfn.XLOOKUP(_xlfn.XLOOKUP(tblTags[[#This Row],[Tag]],db_drift!$B$2:$B$259,db_drift!$D$2:$D$259),tblInputTypes[[#All],[InputTypeName]],tblInputTypes[[#All],[InputTypeID]],"")</f>
        <v>2</v>
      </c>
      <c r="G110">
        <v>2</v>
      </c>
      <c r="H110">
        <v>4</v>
      </c>
      <c r="I110" t="str">
        <f>_xlfn.XLOOKUP(_xlfn.XLOOKUP(tblTags[[#This Row],[Tag]],db_drift!$B$2:$B$259,db_drift!$A$2:$A$259),tblDepartmentHeadings[DepartmentHeading],tblDepartmentHeadings[DepartmentHeadingID],"")</f>
        <v/>
      </c>
      <c r="J110">
        <v>5</v>
      </c>
      <c r="K110" t="str">
        <f>_xlfn.XLOOKUP(_xlfn.XLOOKUP(tblTags[[#This Row],[Tag]],db_drift!$B$2:$B$259,db_drift!$E$2:$E$259),tblFuelTypes[FuelType],tblFuelTypes[FuelTypeID],"")</f>
        <v/>
      </c>
      <c r="L110" t="str">
        <f>_xlfn.XLOOKUP(_xlfn.XLOOKUP(tblTags[[#This Row],[Tag]],db_drift!$B$2:$B$259,db_drift!$F$2:$F$259),tblFuelAllocations[FuelAllocation],tblFuelAllocations[FuelAllocationID],"")</f>
        <v/>
      </c>
      <c r="M110" t="str">
        <f>_xlfn.XLOOKUP(tblTags[[#This Row],[Tag]],tblHelpCalc1[Tag],tblHelpCalc1[Calc1ID],"")</f>
        <v/>
      </c>
      <c r="N110">
        <f>_xlfn.XLOOKUP(tblTags[[#This Row],[Tag]],tblHelpCalc2[Tag],tblHelpCalc2[Calc2ID],"")</f>
        <v>30</v>
      </c>
      <c r="O110" s="2" t="str">
        <f>_xlfn.XLOOKUP(_xlfn.XLOOKUP(tblTags[[#This Row],[Tag]],tblDbDrift[Tag],tblDbDrift[Hide Tags]),tblHideTags[HideTag],tblHideTags[ID],"")</f>
        <v/>
      </c>
      <c r="P110" s="2"/>
      <c r="Q110" s="2" t="s">
        <v>676</v>
      </c>
      <c r="R110" s="2"/>
      <c r="S110" s="2"/>
      <c r="AS110">
        <v>100</v>
      </c>
      <c r="AT110" t="s">
        <v>197</v>
      </c>
      <c r="AU110" t="s">
        <v>198</v>
      </c>
    </row>
    <row r="111" spans="1:47" x14ac:dyDescent="0.2">
      <c r="A111">
        <v>101</v>
      </c>
      <c r="B111">
        <v>101</v>
      </c>
      <c r="C111" t="s">
        <v>175</v>
      </c>
      <c r="D111" t="s">
        <v>163</v>
      </c>
      <c r="E111" t="s">
        <v>163</v>
      </c>
      <c r="F111" cm="1">
        <f t="array" ref="F111">_xlfn.XLOOKUP(_xlfn.XLOOKUP(tblTags[[#This Row],[Tag]],db_drift!$B$2:$B$259,db_drift!$D$2:$D$259),tblInputTypes[[#All],[InputTypeName]],tblInputTypes[[#All],[InputTypeID]],"")</f>
        <v>1</v>
      </c>
      <c r="G111">
        <v>2</v>
      </c>
      <c r="H111">
        <v>4</v>
      </c>
      <c r="I111" t="str">
        <f>_xlfn.XLOOKUP(_xlfn.XLOOKUP(tblTags[[#This Row],[Tag]],db_drift!$B$2:$B$259,db_drift!$A$2:$A$259),tblDepartmentHeadings[DepartmentHeading],tblDepartmentHeadings[DepartmentHeadingID],"")</f>
        <v/>
      </c>
      <c r="J111">
        <v>5</v>
      </c>
      <c r="K111" t="str">
        <f>_xlfn.XLOOKUP(_xlfn.XLOOKUP(tblTags[[#This Row],[Tag]],db_drift!$B$2:$B$259,db_drift!$E$2:$E$259),tblFuelTypes[FuelType],tblFuelTypes[FuelTypeID],"")</f>
        <v/>
      </c>
      <c r="L111" t="str">
        <f>_xlfn.XLOOKUP(_xlfn.XLOOKUP(tblTags[[#This Row],[Tag]],db_drift!$B$2:$B$259,db_drift!$F$2:$F$259),tblFuelAllocations[FuelAllocation],tblFuelAllocations[FuelAllocationID],"")</f>
        <v/>
      </c>
      <c r="M111" t="str">
        <f>_xlfn.XLOOKUP(tblTags[[#This Row],[Tag]],tblHelpCalc1[Tag],tblHelpCalc1[Calc1ID],"")</f>
        <v/>
      </c>
      <c r="N111" t="str">
        <f>_xlfn.XLOOKUP(tblTags[[#This Row],[Tag]],tblHelpCalc2[Tag],tblHelpCalc2[Calc2ID],"")</f>
        <v/>
      </c>
      <c r="O111" s="2" t="str">
        <f>_xlfn.XLOOKUP(_xlfn.XLOOKUP(tblTags[[#This Row],[Tag]],tblDbDrift[Tag],tblDbDrift[Hide Tags]),tblHideTags[HideTag],tblHideTags[ID],"")</f>
        <v/>
      </c>
      <c r="P111" s="2"/>
      <c r="Q111" s="2" t="s">
        <v>677</v>
      </c>
      <c r="R111" s="2"/>
      <c r="S111" s="2"/>
      <c r="AS111">
        <v>101</v>
      </c>
      <c r="AT111" t="s">
        <v>199</v>
      </c>
      <c r="AU111" t="s">
        <v>838</v>
      </c>
    </row>
    <row r="112" spans="1:47" x14ac:dyDescent="0.2">
      <c r="A112">
        <v>102</v>
      </c>
      <c r="B112">
        <v>102</v>
      </c>
      <c r="C112" t="s">
        <v>13</v>
      </c>
      <c r="F112" t="str" cm="1">
        <f t="array" ref="F112">_xlfn.XLOOKUP(_xlfn.XLOOKUP(tblTags[[#This Row],[Tag]],db_drift!$B$2:$B$259,db_drift!$D$2:$D$259),tblInputTypes[[#All],[InputTypeName]],tblInputTypes[[#All],[InputTypeID]],"")</f>
        <v/>
      </c>
      <c r="G112">
        <v>12</v>
      </c>
      <c r="I112" t="str">
        <f>_xlfn.XLOOKUP(_xlfn.XLOOKUP(tblTags[[#This Row],[Tag]],db_drift!$B$2:$B$259,db_drift!$A$2:$A$259),tblDepartmentHeadings[DepartmentHeading],tblDepartmentHeadings[DepartmentHeadingID],"")</f>
        <v/>
      </c>
      <c r="K112" t="str">
        <f>_xlfn.XLOOKUP(_xlfn.XLOOKUP(tblTags[[#This Row],[Tag]],db_drift!$B$2:$B$259,db_drift!$E$2:$E$259),tblFuelTypes[FuelType],tblFuelTypes[FuelTypeID],"")</f>
        <v/>
      </c>
      <c r="L112" t="str">
        <f>_xlfn.XLOOKUP(_xlfn.XLOOKUP(tblTags[[#This Row],[Tag]],db_drift!$B$2:$B$259,db_drift!$F$2:$F$259),tblFuelAllocations[FuelAllocation],tblFuelAllocations[FuelAllocationID],"")</f>
        <v/>
      </c>
      <c r="M112" t="str">
        <f>_xlfn.XLOOKUP(tblTags[[#This Row],[Tag]],tblHelpCalc1[Tag],tblHelpCalc1[Calc1ID],"")</f>
        <v/>
      </c>
      <c r="N112" t="str">
        <f>_xlfn.XLOOKUP(tblTags[[#This Row],[Tag]],tblHelpCalc2[Tag],tblHelpCalc2[Calc2ID],"")</f>
        <v/>
      </c>
      <c r="O112" s="2" t="str">
        <f>_xlfn.XLOOKUP(_xlfn.XLOOKUP(tblTags[[#This Row],[Tag]],tblDbDrift[Tag],tblDbDrift[Hide Tags]),tblHideTags[HideTag],tblHideTags[ID],"")</f>
        <v/>
      </c>
      <c r="P112" s="2"/>
      <c r="Q112" s="2" t="s">
        <v>678</v>
      </c>
      <c r="R112" s="2"/>
      <c r="S112" s="2"/>
      <c r="AS112">
        <v>102</v>
      </c>
      <c r="AT112" t="s">
        <v>201</v>
      </c>
      <c r="AU112" t="s">
        <v>838</v>
      </c>
    </row>
    <row r="113" spans="1:47" x14ac:dyDescent="0.2">
      <c r="A113">
        <v>103</v>
      </c>
      <c r="B113">
        <v>103</v>
      </c>
      <c r="C113" t="s">
        <v>176</v>
      </c>
      <c r="D113" t="s">
        <v>177</v>
      </c>
      <c r="E113" t="s">
        <v>177</v>
      </c>
      <c r="F113" cm="1">
        <f t="array" ref="F113">_xlfn.XLOOKUP(_xlfn.XLOOKUP(tblTags[[#This Row],[Tag]],db_drift!$B$2:$B$259,db_drift!$D$2:$D$259),tblInputTypes[[#All],[InputTypeName]],tblInputTypes[[#All],[InputTypeID]],"")</f>
        <v>2</v>
      </c>
      <c r="G113">
        <v>12</v>
      </c>
      <c r="I113">
        <f>_xlfn.XLOOKUP(_xlfn.XLOOKUP(tblTags[[#This Row],[Tag]],db_drift!$B$2:$B$259,db_drift!$A$2:$A$259),tblDepartmentHeadings[DepartmentHeading],tblDepartmentHeadings[DepartmentHeadingID],"")</f>
        <v>9</v>
      </c>
      <c r="J113">
        <v>9</v>
      </c>
      <c r="K113" t="str">
        <f>_xlfn.XLOOKUP(_xlfn.XLOOKUP(tblTags[[#This Row],[Tag]],db_drift!$B$2:$B$259,db_drift!$E$2:$E$259),tblFuelTypes[FuelType],tblFuelTypes[FuelTypeID],"")</f>
        <v/>
      </c>
      <c r="L113" t="str">
        <f>_xlfn.XLOOKUP(_xlfn.XLOOKUP(tblTags[[#This Row],[Tag]],db_drift!$B$2:$B$259,db_drift!$F$2:$F$259),tblFuelAllocations[FuelAllocation],tblFuelAllocations[FuelAllocationID],"")</f>
        <v/>
      </c>
      <c r="M113" t="str">
        <f>_xlfn.XLOOKUP(tblTags[[#This Row],[Tag]],tblHelpCalc1[Tag],tblHelpCalc1[Calc1ID],"")</f>
        <v/>
      </c>
      <c r="N113" t="str">
        <f>_xlfn.XLOOKUP(tblTags[[#This Row],[Tag]],tblHelpCalc2[Tag],tblHelpCalc2[Calc2ID],"")</f>
        <v/>
      </c>
      <c r="O113" s="2" t="str">
        <f>_xlfn.XLOOKUP(_xlfn.XLOOKUP(tblTags[[#This Row],[Tag]],tblDbDrift[Tag],tblDbDrift[Hide Tags]),tblHideTags[HideTag],tblHideTags[ID],"")</f>
        <v/>
      </c>
      <c r="P113" s="2"/>
      <c r="Q113" s="2" t="s">
        <v>679</v>
      </c>
      <c r="R113" s="2"/>
      <c r="S113" s="2"/>
      <c r="AS113">
        <v>103</v>
      </c>
      <c r="AT113" t="s">
        <v>209</v>
      </c>
      <c r="AU113" t="s">
        <v>210</v>
      </c>
    </row>
    <row r="114" spans="1:47" x14ac:dyDescent="0.2">
      <c r="A114">
        <v>104</v>
      </c>
      <c r="B114">
        <v>104</v>
      </c>
      <c r="C114" t="s">
        <v>178</v>
      </c>
      <c r="D114" t="s">
        <v>179</v>
      </c>
      <c r="E114" t="s">
        <v>179</v>
      </c>
      <c r="F114" cm="1">
        <f t="array" ref="F114">_xlfn.XLOOKUP(_xlfn.XLOOKUP(tblTags[[#This Row],[Tag]],db_drift!$B$2:$B$259,db_drift!$D$2:$D$259),tblInputTypes[[#All],[InputTypeName]],tblInputTypes[[#All],[InputTypeID]],"")</f>
        <v>2</v>
      </c>
      <c r="G114">
        <v>12</v>
      </c>
      <c r="I114" t="str">
        <f>_xlfn.XLOOKUP(_xlfn.XLOOKUP(tblTags[[#This Row],[Tag]],db_drift!$B$2:$B$259,db_drift!$A$2:$A$259),tblDepartmentHeadings[DepartmentHeading],tblDepartmentHeadings[DepartmentHeadingID],"")</f>
        <v/>
      </c>
      <c r="J114">
        <v>9</v>
      </c>
      <c r="K114" t="str">
        <f>_xlfn.XLOOKUP(_xlfn.XLOOKUP(tblTags[[#This Row],[Tag]],db_drift!$B$2:$B$259,db_drift!$E$2:$E$259),tblFuelTypes[FuelType],tblFuelTypes[FuelTypeID],"")</f>
        <v/>
      </c>
      <c r="L114" t="str">
        <f>_xlfn.XLOOKUP(_xlfn.XLOOKUP(tblTags[[#This Row],[Tag]],db_drift!$B$2:$B$259,db_drift!$F$2:$F$259),tblFuelAllocations[FuelAllocation],tblFuelAllocations[FuelAllocationID],"")</f>
        <v/>
      </c>
      <c r="M114" t="str">
        <f>_xlfn.XLOOKUP(tblTags[[#This Row],[Tag]],tblHelpCalc1[Tag],tblHelpCalc1[Calc1ID],"")</f>
        <v/>
      </c>
      <c r="N114" t="str">
        <f>_xlfn.XLOOKUP(tblTags[[#This Row],[Tag]],tblHelpCalc2[Tag],tblHelpCalc2[Calc2ID],"")</f>
        <v/>
      </c>
      <c r="O114" s="2" t="str">
        <f>_xlfn.XLOOKUP(_xlfn.XLOOKUP(tblTags[[#This Row],[Tag]],tblDbDrift[Tag],tblDbDrift[Hide Tags]),tblHideTags[HideTag],tblHideTags[ID],"")</f>
        <v/>
      </c>
      <c r="P114" s="2"/>
      <c r="Q114" s="2" t="s">
        <v>680</v>
      </c>
      <c r="R114" s="2"/>
      <c r="S114" s="2"/>
      <c r="AS114">
        <v>104</v>
      </c>
      <c r="AT114" t="s">
        <v>211</v>
      </c>
      <c r="AU114" t="s">
        <v>841</v>
      </c>
    </row>
    <row r="115" spans="1:47" x14ac:dyDescent="0.2">
      <c r="A115">
        <v>105</v>
      </c>
      <c r="B115">
        <v>105</v>
      </c>
      <c r="C115" t="s">
        <v>180</v>
      </c>
      <c r="D115" t="s">
        <v>181</v>
      </c>
      <c r="E115" t="s">
        <v>181</v>
      </c>
      <c r="F115" cm="1">
        <f t="array" ref="F115">_xlfn.XLOOKUP(_xlfn.XLOOKUP(tblTags[[#This Row],[Tag]],db_drift!$B$2:$B$259,db_drift!$D$2:$D$259),tblInputTypes[[#All],[InputTypeName]],tblInputTypes[[#All],[InputTypeID]],"")</f>
        <v>2</v>
      </c>
      <c r="G115">
        <v>12</v>
      </c>
      <c r="I115" t="str">
        <f>_xlfn.XLOOKUP(_xlfn.XLOOKUP(tblTags[[#This Row],[Tag]],db_drift!$B$2:$B$259,db_drift!$A$2:$A$259),tblDepartmentHeadings[DepartmentHeading],tblDepartmentHeadings[DepartmentHeadingID],"")</f>
        <v/>
      </c>
      <c r="J115">
        <v>9</v>
      </c>
      <c r="K115" t="str">
        <f>_xlfn.XLOOKUP(_xlfn.XLOOKUP(tblTags[[#This Row],[Tag]],db_drift!$B$2:$B$259,db_drift!$E$2:$E$259),tblFuelTypes[FuelType],tblFuelTypes[FuelTypeID],"")</f>
        <v/>
      </c>
      <c r="L115" t="str">
        <f>_xlfn.XLOOKUP(_xlfn.XLOOKUP(tblTags[[#This Row],[Tag]],db_drift!$B$2:$B$259,db_drift!$F$2:$F$259),tblFuelAllocations[FuelAllocation],tblFuelAllocations[FuelAllocationID],"")</f>
        <v/>
      </c>
      <c r="M115" t="str">
        <f>_xlfn.XLOOKUP(tblTags[[#This Row],[Tag]],tblHelpCalc1[Tag],tblHelpCalc1[Calc1ID],"")</f>
        <v/>
      </c>
      <c r="N115" t="str">
        <f>_xlfn.XLOOKUP(tblTags[[#This Row],[Tag]],tblHelpCalc2[Tag],tblHelpCalc2[Calc2ID],"")</f>
        <v/>
      </c>
      <c r="O115" s="2" t="str">
        <f>_xlfn.XLOOKUP(_xlfn.XLOOKUP(tblTags[[#This Row],[Tag]],tblDbDrift[Tag],tblDbDrift[Hide Tags]),tblHideTags[HideTag],tblHideTags[ID],"")</f>
        <v/>
      </c>
      <c r="P115" s="2"/>
      <c r="Q115" s="2" t="s">
        <v>681</v>
      </c>
      <c r="R115" s="2"/>
      <c r="S115" s="2"/>
      <c r="AS115">
        <v>105</v>
      </c>
      <c r="AT115" t="s">
        <v>224</v>
      </c>
      <c r="AU115" t="s">
        <v>840</v>
      </c>
    </row>
    <row r="116" spans="1:47" x14ac:dyDescent="0.2">
      <c r="A116">
        <v>106</v>
      </c>
      <c r="B116">
        <v>106</v>
      </c>
      <c r="C116" t="s">
        <v>182</v>
      </c>
      <c r="D116" t="s">
        <v>183</v>
      </c>
      <c r="E116" t="s">
        <v>183</v>
      </c>
      <c r="F116" cm="1">
        <f t="array" ref="F116">_xlfn.XLOOKUP(_xlfn.XLOOKUP(tblTags[[#This Row],[Tag]],db_drift!$B$2:$B$259,db_drift!$D$2:$D$259),tblInputTypes[[#All],[InputTypeName]],tblInputTypes[[#All],[InputTypeID]],"")</f>
        <v>2</v>
      </c>
      <c r="G116">
        <v>12</v>
      </c>
      <c r="I116" t="str">
        <f>_xlfn.XLOOKUP(_xlfn.XLOOKUP(tblTags[[#This Row],[Tag]],db_drift!$B$2:$B$259,db_drift!$A$2:$A$259),tblDepartmentHeadings[DepartmentHeading],tblDepartmentHeadings[DepartmentHeadingID],"")</f>
        <v/>
      </c>
      <c r="J116">
        <v>9</v>
      </c>
      <c r="K116" t="str">
        <f>_xlfn.XLOOKUP(_xlfn.XLOOKUP(tblTags[[#This Row],[Tag]],db_drift!$B$2:$B$259,db_drift!$E$2:$E$259),tblFuelTypes[FuelType],tblFuelTypes[FuelTypeID],"")</f>
        <v/>
      </c>
      <c r="L116" t="str">
        <f>_xlfn.XLOOKUP(_xlfn.XLOOKUP(tblTags[[#This Row],[Tag]],db_drift!$B$2:$B$259,db_drift!$F$2:$F$259),tblFuelAllocations[FuelAllocation],tblFuelAllocations[FuelAllocationID],"")</f>
        <v/>
      </c>
      <c r="M116" t="str">
        <f>_xlfn.XLOOKUP(tblTags[[#This Row],[Tag]],tblHelpCalc1[Tag],tblHelpCalc1[Calc1ID],"")</f>
        <v/>
      </c>
      <c r="N116" t="str">
        <f>_xlfn.XLOOKUP(tblTags[[#This Row],[Tag]],tblHelpCalc2[Tag],tblHelpCalc2[Calc2ID],"")</f>
        <v/>
      </c>
      <c r="O116" s="2" t="str">
        <f>_xlfn.XLOOKUP(_xlfn.XLOOKUP(tblTags[[#This Row],[Tag]],tblDbDrift[Tag],tblDbDrift[Hide Tags]),tblHideTags[HideTag],tblHideTags[ID],"")</f>
        <v/>
      </c>
      <c r="P116" s="2"/>
      <c r="Q116" s="2" t="s">
        <v>682</v>
      </c>
      <c r="R116" s="2"/>
      <c r="S116" s="2"/>
      <c r="AS116">
        <v>106</v>
      </c>
      <c r="AT116" t="s">
        <v>228</v>
      </c>
      <c r="AU116" t="s">
        <v>229</v>
      </c>
    </row>
    <row r="117" spans="1:47" x14ac:dyDescent="0.2">
      <c r="A117">
        <v>107</v>
      </c>
      <c r="B117">
        <v>107</v>
      </c>
      <c r="C117" t="s">
        <v>184</v>
      </c>
      <c r="D117" t="s">
        <v>185</v>
      </c>
      <c r="E117" t="s">
        <v>185</v>
      </c>
      <c r="F117" cm="1">
        <f t="array" ref="F117">_xlfn.XLOOKUP(_xlfn.XLOOKUP(tblTags[[#This Row],[Tag]],db_drift!$B$2:$B$259,db_drift!$D$2:$D$259),tblInputTypes[[#All],[InputTypeName]],tblInputTypes[[#All],[InputTypeID]],"")</f>
        <v>2</v>
      </c>
      <c r="G117">
        <v>12</v>
      </c>
      <c r="I117" t="str">
        <f>_xlfn.XLOOKUP(_xlfn.XLOOKUP(tblTags[[#This Row],[Tag]],db_drift!$B$2:$B$259,db_drift!$A$2:$A$259),tblDepartmentHeadings[DepartmentHeading],tblDepartmentHeadings[DepartmentHeadingID],"")</f>
        <v/>
      </c>
      <c r="J117">
        <v>9</v>
      </c>
      <c r="K117" t="str">
        <f>_xlfn.XLOOKUP(_xlfn.XLOOKUP(tblTags[[#This Row],[Tag]],db_drift!$B$2:$B$259,db_drift!$E$2:$E$259),tblFuelTypes[FuelType],tblFuelTypes[FuelTypeID],"")</f>
        <v/>
      </c>
      <c r="L117" t="str">
        <f>_xlfn.XLOOKUP(_xlfn.XLOOKUP(tblTags[[#This Row],[Tag]],db_drift!$B$2:$B$259,db_drift!$F$2:$F$259),tblFuelAllocations[FuelAllocation],tblFuelAllocations[FuelAllocationID],"")</f>
        <v/>
      </c>
      <c r="M117" t="str">
        <f>_xlfn.XLOOKUP(tblTags[[#This Row],[Tag]],tblHelpCalc1[Tag],tblHelpCalc1[Calc1ID],"")</f>
        <v/>
      </c>
      <c r="N117" t="str">
        <f>_xlfn.XLOOKUP(tblTags[[#This Row],[Tag]],tblHelpCalc2[Tag],tblHelpCalc2[Calc2ID],"")</f>
        <v/>
      </c>
      <c r="O117" s="2" t="str">
        <f>_xlfn.XLOOKUP(_xlfn.XLOOKUP(tblTags[[#This Row],[Tag]],tblDbDrift[Tag],tblDbDrift[Hide Tags]),tblHideTags[HideTag],tblHideTags[ID],"")</f>
        <v/>
      </c>
      <c r="P117" s="2"/>
      <c r="Q117" s="2" t="s">
        <v>683</v>
      </c>
      <c r="R117" s="2"/>
      <c r="S117" s="2"/>
      <c r="AS117">
        <v>107</v>
      </c>
      <c r="AT117" t="s">
        <v>230</v>
      </c>
      <c r="AU117" t="s">
        <v>839</v>
      </c>
    </row>
    <row r="118" spans="1:47" x14ac:dyDescent="0.2">
      <c r="A118">
        <v>108</v>
      </c>
      <c r="B118">
        <v>108</v>
      </c>
      <c r="C118" t="s">
        <v>186</v>
      </c>
      <c r="D118" t="s">
        <v>187</v>
      </c>
      <c r="E118" t="s">
        <v>187</v>
      </c>
      <c r="F118" cm="1">
        <f t="array" ref="F118">_xlfn.XLOOKUP(_xlfn.XLOOKUP(tblTags[[#This Row],[Tag]],db_drift!$B$2:$B$259,db_drift!$D$2:$D$259),tblInputTypes[[#All],[InputTypeName]],tblInputTypes[[#All],[InputTypeID]],"")</f>
        <v>2</v>
      </c>
      <c r="G118">
        <v>12</v>
      </c>
      <c r="I118" t="str">
        <f>_xlfn.XLOOKUP(_xlfn.XLOOKUP(tblTags[[#This Row],[Tag]],db_drift!$B$2:$B$259,db_drift!$A$2:$A$259),tblDepartmentHeadings[DepartmentHeading],tblDepartmentHeadings[DepartmentHeadingID],"")</f>
        <v/>
      </c>
      <c r="J118">
        <v>9</v>
      </c>
      <c r="K118" t="str">
        <f>_xlfn.XLOOKUP(_xlfn.XLOOKUP(tblTags[[#This Row],[Tag]],db_drift!$B$2:$B$259,db_drift!$E$2:$E$259),tblFuelTypes[FuelType],tblFuelTypes[FuelTypeID],"")</f>
        <v/>
      </c>
      <c r="L118" t="str">
        <f>_xlfn.XLOOKUP(_xlfn.XLOOKUP(tblTags[[#This Row],[Tag]],db_drift!$B$2:$B$259,db_drift!$F$2:$F$259),tblFuelAllocations[FuelAllocation],tblFuelAllocations[FuelAllocationID],"")</f>
        <v/>
      </c>
      <c r="M118" t="str">
        <f>_xlfn.XLOOKUP(tblTags[[#This Row],[Tag]],tblHelpCalc1[Tag],tblHelpCalc1[Calc1ID],"")</f>
        <v/>
      </c>
      <c r="N118" t="str">
        <f>_xlfn.XLOOKUP(tblTags[[#This Row],[Tag]],tblHelpCalc2[Tag],tblHelpCalc2[Calc2ID],"")</f>
        <v/>
      </c>
      <c r="O118" s="2" t="str">
        <f>_xlfn.XLOOKUP(_xlfn.XLOOKUP(tblTags[[#This Row],[Tag]],tblDbDrift[Tag],tblDbDrift[Hide Tags]),tblHideTags[HideTag],tblHideTags[ID],"")</f>
        <v/>
      </c>
      <c r="P118" s="2"/>
      <c r="Q118" s="2" t="s">
        <v>684</v>
      </c>
      <c r="R118" s="2"/>
      <c r="S118" s="2"/>
      <c r="AS118">
        <v>108</v>
      </c>
      <c r="AT118" t="s">
        <v>232</v>
      </c>
      <c r="AU118" t="s">
        <v>839</v>
      </c>
    </row>
    <row r="119" spans="1:47" x14ac:dyDescent="0.2">
      <c r="A119">
        <v>109</v>
      </c>
      <c r="B119">
        <v>109</v>
      </c>
      <c r="C119" t="s">
        <v>188</v>
      </c>
      <c r="D119" t="s">
        <v>189</v>
      </c>
      <c r="E119" t="s">
        <v>189</v>
      </c>
      <c r="F119" cm="1">
        <f t="array" ref="F119">_xlfn.XLOOKUP(_xlfn.XLOOKUP(tblTags[[#This Row],[Tag]],db_drift!$B$2:$B$259,db_drift!$D$2:$D$259),tblInputTypes[[#All],[InputTypeName]],tblInputTypes[[#All],[InputTypeID]],"")</f>
        <v>2</v>
      </c>
      <c r="G119">
        <v>12</v>
      </c>
      <c r="I119" t="str">
        <f>_xlfn.XLOOKUP(_xlfn.XLOOKUP(tblTags[[#This Row],[Tag]],db_drift!$B$2:$B$259,db_drift!$A$2:$A$259),tblDepartmentHeadings[DepartmentHeading],tblDepartmentHeadings[DepartmentHeadingID],"")</f>
        <v/>
      </c>
      <c r="J119">
        <v>9</v>
      </c>
      <c r="K119" t="str">
        <f>_xlfn.XLOOKUP(_xlfn.XLOOKUP(tblTags[[#This Row],[Tag]],db_drift!$B$2:$B$259,db_drift!$E$2:$E$259),tblFuelTypes[FuelType],tblFuelTypes[FuelTypeID],"")</f>
        <v/>
      </c>
      <c r="L119" t="str">
        <f>_xlfn.XLOOKUP(_xlfn.XLOOKUP(tblTags[[#This Row],[Tag]],db_drift!$B$2:$B$259,db_drift!$F$2:$F$259),tblFuelAllocations[FuelAllocation],tblFuelAllocations[FuelAllocationID],"")</f>
        <v/>
      </c>
      <c r="M119" t="str">
        <f>_xlfn.XLOOKUP(tblTags[[#This Row],[Tag]],tblHelpCalc1[Tag],tblHelpCalc1[Calc1ID],"")</f>
        <v/>
      </c>
      <c r="N119" t="str">
        <f>_xlfn.XLOOKUP(tblTags[[#This Row],[Tag]],tblHelpCalc2[Tag],tblHelpCalc2[Calc2ID],"")</f>
        <v/>
      </c>
      <c r="O119" s="2" t="str">
        <f>_xlfn.XLOOKUP(_xlfn.XLOOKUP(tblTags[[#This Row],[Tag]],tblDbDrift[Tag],tblDbDrift[Hide Tags]),tblHideTags[HideTag],tblHideTags[ID],"")</f>
        <v/>
      </c>
      <c r="P119" s="2"/>
      <c r="Q119" s="2" t="s">
        <v>685</v>
      </c>
      <c r="R119" s="2"/>
      <c r="S119" s="2"/>
      <c r="AS119">
        <v>109</v>
      </c>
      <c r="AT119" t="s">
        <v>137</v>
      </c>
      <c r="AU119" t="s">
        <v>216</v>
      </c>
    </row>
    <row r="120" spans="1:47" x14ac:dyDescent="0.2">
      <c r="A120">
        <v>110</v>
      </c>
      <c r="B120">
        <v>110</v>
      </c>
      <c r="C120" t="s">
        <v>190</v>
      </c>
      <c r="D120" t="s">
        <v>191</v>
      </c>
      <c r="E120" t="s">
        <v>191</v>
      </c>
      <c r="F120" cm="1">
        <f t="array" ref="F120">_xlfn.XLOOKUP(_xlfn.XLOOKUP(tblTags[[#This Row],[Tag]],db_drift!$B$2:$B$259,db_drift!$D$2:$D$259),tblInputTypes[[#All],[InputTypeName]],tblInputTypes[[#All],[InputTypeID]],"")</f>
        <v>2</v>
      </c>
      <c r="G120">
        <v>12</v>
      </c>
      <c r="I120" t="str">
        <f>_xlfn.XLOOKUP(_xlfn.XLOOKUP(tblTags[[#This Row],[Tag]],db_drift!$B$2:$B$259,db_drift!$A$2:$A$259),tblDepartmentHeadings[DepartmentHeading],tblDepartmentHeadings[DepartmentHeadingID],"")</f>
        <v/>
      </c>
      <c r="J120">
        <v>9</v>
      </c>
      <c r="K120" t="str">
        <f>_xlfn.XLOOKUP(_xlfn.XLOOKUP(tblTags[[#This Row],[Tag]],db_drift!$B$2:$B$259,db_drift!$E$2:$E$259),tblFuelTypes[FuelType],tblFuelTypes[FuelTypeID],"")</f>
        <v/>
      </c>
      <c r="L120" t="str">
        <f>_xlfn.XLOOKUP(_xlfn.XLOOKUP(tblTags[[#This Row],[Tag]],db_drift!$B$2:$B$259,db_drift!$F$2:$F$259),tblFuelAllocations[FuelAllocation],tblFuelAllocations[FuelAllocationID],"")</f>
        <v/>
      </c>
      <c r="M120" t="str">
        <f>_xlfn.XLOOKUP(tblTags[[#This Row],[Tag]],tblHelpCalc1[Tag],tblHelpCalc1[Calc1ID],"")</f>
        <v/>
      </c>
      <c r="N120" t="str">
        <f>_xlfn.XLOOKUP(tblTags[[#This Row],[Tag]],tblHelpCalc2[Tag],tblHelpCalc2[Calc2ID],"")</f>
        <v/>
      </c>
      <c r="O120" s="2" t="str">
        <f>_xlfn.XLOOKUP(_xlfn.XLOOKUP(tblTags[[#This Row],[Tag]],tblDbDrift[Tag],tblDbDrift[Hide Tags]),tblHideTags[HideTag],tblHideTags[ID],"")</f>
        <v/>
      </c>
      <c r="P120" s="2"/>
      <c r="Q120" s="2" t="s">
        <v>686</v>
      </c>
      <c r="R120" s="2"/>
      <c r="S120" s="2"/>
      <c r="AS120">
        <v>110</v>
      </c>
      <c r="AT120" t="s">
        <v>139</v>
      </c>
      <c r="AU120" t="s">
        <v>218</v>
      </c>
    </row>
    <row r="121" spans="1:47" x14ac:dyDescent="0.2">
      <c r="A121">
        <v>111</v>
      </c>
      <c r="B121">
        <v>111</v>
      </c>
      <c r="C121" t="s">
        <v>192</v>
      </c>
      <c r="D121" t="s">
        <v>393</v>
      </c>
      <c r="E121" t="s">
        <v>393</v>
      </c>
      <c r="F121" cm="1">
        <f t="array" ref="F121">_xlfn.XLOOKUP(_xlfn.XLOOKUP(tblTags[[#This Row],[Tag]],db_drift!$B$2:$B$259,db_drift!$D$2:$D$259),tblInputTypes[[#All],[InputTypeName]],tblInputTypes[[#All],[InputTypeID]],"")</f>
        <v>2</v>
      </c>
      <c r="G121">
        <v>12</v>
      </c>
      <c r="I121" t="str">
        <f>_xlfn.XLOOKUP(_xlfn.XLOOKUP(tblTags[[#This Row],[Tag]],db_drift!$B$2:$B$259,db_drift!$A$2:$A$259),tblDepartmentHeadings[DepartmentHeading],tblDepartmentHeadings[DepartmentHeadingID],"")</f>
        <v/>
      </c>
      <c r="J121">
        <v>9</v>
      </c>
      <c r="K121" t="str">
        <f>_xlfn.XLOOKUP(_xlfn.XLOOKUP(tblTags[[#This Row],[Tag]],db_drift!$B$2:$B$259,db_drift!$E$2:$E$259),tblFuelTypes[FuelType],tblFuelTypes[FuelTypeID],"")</f>
        <v/>
      </c>
      <c r="L121" t="str">
        <f>_xlfn.XLOOKUP(_xlfn.XLOOKUP(tblTags[[#This Row],[Tag]],db_drift!$B$2:$B$259,db_drift!$F$2:$F$259),tblFuelAllocations[FuelAllocation],tblFuelAllocations[FuelAllocationID],"")</f>
        <v/>
      </c>
      <c r="M121" t="str">
        <f>_xlfn.XLOOKUP(tblTags[[#This Row],[Tag]],tblHelpCalc1[Tag],tblHelpCalc1[Calc1ID],"")</f>
        <v/>
      </c>
      <c r="N121" t="str">
        <f>_xlfn.XLOOKUP(tblTags[[#This Row],[Tag]],tblHelpCalc2[Tag],tblHelpCalc2[Calc2ID],"")</f>
        <v/>
      </c>
      <c r="O121" s="2" t="str">
        <f>_xlfn.XLOOKUP(_xlfn.XLOOKUP(tblTags[[#This Row],[Tag]],tblDbDrift[Tag],tblDbDrift[Hide Tags]),tblHideTags[HideTag],tblHideTags[ID],"")</f>
        <v/>
      </c>
      <c r="P121" s="2"/>
      <c r="Q121" s="2" t="s">
        <v>687</v>
      </c>
      <c r="R121" s="2"/>
      <c r="S121" s="2"/>
      <c r="AS121">
        <v>111</v>
      </c>
      <c r="AT121" t="s">
        <v>141</v>
      </c>
      <c r="AU121" t="s">
        <v>220</v>
      </c>
    </row>
    <row r="122" spans="1:47" x14ac:dyDescent="0.2">
      <c r="A122">
        <v>112</v>
      </c>
      <c r="B122">
        <v>112</v>
      </c>
      <c r="C122" t="s">
        <v>10</v>
      </c>
      <c r="F122" t="str" cm="1">
        <f t="array" ref="F122">_xlfn.XLOOKUP(_xlfn.XLOOKUP(tblTags[[#This Row],[Tag]],db_drift!$B$2:$B$259,db_drift!$D$2:$D$259),tblInputTypes[[#All],[InputTypeName]],tblInputTypes[[#All],[InputTypeID]],"")</f>
        <v/>
      </c>
      <c r="G122">
        <v>9</v>
      </c>
      <c r="I122" t="str">
        <f>_xlfn.XLOOKUP(_xlfn.XLOOKUP(tblTags[[#This Row],[Tag]],db_drift!$B$2:$B$259,db_drift!$A$2:$A$259),tblDepartmentHeadings[DepartmentHeading],tblDepartmentHeadings[DepartmentHeadingID],"")</f>
        <v/>
      </c>
      <c r="K122" t="str">
        <f>_xlfn.XLOOKUP(_xlfn.XLOOKUP(tblTags[[#This Row],[Tag]],db_drift!$B$2:$B$259,db_drift!$E$2:$E$259),tblFuelTypes[FuelType],tblFuelTypes[FuelTypeID],"")</f>
        <v/>
      </c>
      <c r="L122" t="str">
        <f>_xlfn.XLOOKUP(_xlfn.XLOOKUP(tblTags[[#This Row],[Tag]],db_drift!$B$2:$B$259,db_drift!$F$2:$F$259),tblFuelAllocations[FuelAllocation],tblFuelAllocations[FuelAllocationID],"")</f>
        <v/>
      </c>
      <c r="M122" t="str">
        <f>_xlfn.XLOOKUP(tblTags[[#This Row],[Tag]],tblHelpCalc1[Tag],tblHelpCalc1[Calc1ID],"")</f>
        <v/>
      </c>
      <c r="N122" t="str">
        <f>_xlfn.XLOOKUP(tblTags[[#This Row],[Tag]],tblHelpCalc2[Tag],tblHelpCalc2[Calc2ID],"")</f>
        <v/>
      </c>
      <c r="O122" s="2" t="str">
        <f>_xlfn.XLOOKUP(_xlfn.XLOOKUP(tblTags[[#This Row],[Tag]],tblDbDrift[Tag],tblDbDrift[Hide Tags]),tblHideTags[HideTag],tblHideTags[ID],"")</f>
        <v/>
      </c>
      <c r="P122" s="2"/>
      <c r="Q122" s="2" t="s">
        <v>688</v>
      </c>
      <c r="R122" s="2"/>
      <c r="S122" s="2"/>
      <c r="AS122">
        <v>112</v>
      </c>
      <c r="AT122" t="s">
        <v>143</v>
      </c>
      <c r="AU122" t="s">
        <v>842</v>
      </c>
    </row>
    <row r="123" spans="1:47" x14ac:dyDescent="0.2">
      <c r="A123">
        <v>113</v>
      </c>
      <c r="B123">
        <v>113</v>
      </c>
      <c r="C123" t="s">
        <v>193</v>
      </c>
      <c r="D123" t="s">
        <v>194</v>
      </c>
      <c r="E123" t="s">
        <v>194</v>
      </c>
      <c r="F123" cm="1">
        <f t="array" ref="F123">_xlfn.XLOOKUP(_xlfn.XLOOKUP(tblTags[[#This Row],[Tag]],db_drift!$B$2:$B$259,db_drift!$D$2:$D$259),tblInputTypes[[#All],[InputTypeName]],tblInputTypes[[#All],[InputTypeID]],"")</f>
        <v>2</v>
      </c>
      <c r="G123">
        <v>9</v>
      </c>
      <c r="I123">
        <f>_xlfn.XLOOKUP(_xlfn.XLOOKUP(tblTags[[#This Row],[Tag]],db_drift!$B$2:$B$259,db_drift!$A$2:$A$259),tblDepartmentHeadings[DepartmentHeading],tblDepartmentHeadings[DepartmentHeadingID],"")</f>
        <v>10</v>
      </c>
      <c r="J123">
        <v>9</v>
      </c>
      <c r="K123" t="str">
        <f>_xlfn.XLOOKUP(_xlfn.XLOOKUP(tblTags[[#This Row],[Tag]],db_drift!$B$2:$B$259,db_drift!$E$2:$E$259),tblFuelTypes[FuelType],tblFuelTypes[FuelTypeID],"")</f>
        <v/>
      </c>
      <c r="L123" t="str">
        <f>_xlfn.XLOOKUP(_xlfn.XLOOKUP(tblTags[[#This Row],[Tag]],db_drift!$B$2:$B$259,db_drift!$F$2:$F$259),tblFuelAllocations[FuelAllocation],tblFuelAllocations[FuelAllocationID],"")</f>
        <v/>
      </c>
      <c r="M123" t="str">
        <f>_xlfn.XLOOKUP(tblTags[[#This Row],[Tag]],tblHelpCalc1[Tag],tblHelpCalc1[Calc1ID],"")</f>
        <v/>
      </c>
      <c r="N123" t="str">
        <f>_xlfn.XLOOKUP(tblTags[[#This Row],[Tag]],tblHelpCalc2[Tag],tblHelpCalc2[Calc2ID],"")</f>
        <v/>
      </c>
      <c r="O123" s="2" t="str">
        <f>_xlfn.XLOOKUP(_xlfn.XLOOKUP(tblTags[[#This Row],[Tag]],tblDbDrift[Tag],tblDbDrift[Hide Tags]),tblHideTags[HideTag],tblHideTags[ID],"")</f>
        <v/>
      </c>
      <c r="P123" s="2"/>
      <c r="Q123" s="2" t="s">
        <v>689</v>
      </c>
      <c r="R123" s="2"/>
      <c r="S123" s="2"/>
      <c r="AS123">
        <v>113</v>
      </c>
      <c r="AT123" t="s">
        <v>144</v>
      </c>
      <c r="AU123" t="s">
        <v>238</v>
      </c>
    </row>
    <row r="124" spans="1:47" x14ac:dyDescent="0.2">
      <c r="A124">
        <v>114</v>
      </c>
      <c r="B124">
        <v>114</v>
      </c>
      <c r="C124" t="s">
        <v>195</v>
      </c>
      <c r="D124" t="s">
        <v>196</v>
      </c>
      <c r="E124" t="s">
        <v>196</v>
      </c>
      <c r="F124" cm="1">
        <f t="array" ref="F124">_xlfn.XLOOKUP(_xlfn.XLOOKUP(tblTags[[#This Row],[Tag]],db_drift!$B$2:$B$259,db_drift!$D$2:$D$259),tblInputTypes[[#All],[InputTypeName]],tblInputTypes[[#All],[InputTypeID]],"")</f>
        <v>2</v>
      </c>
      <c r="G124">
        <v>9</v>
      </c>
      <c r="I124" t="str">
        <f>_xlfn.XLOOKUP(_xlfn.XLOOKUP(tblTags[[#This Row],[Tag]],db_drift!$B$2:$B$259,db_drift!$A$2:$A$259),tblDepartmentHeadings[DepartmentHeading],tblDepartmentHeadings[DepartmentHeadingID],"")</f>
        <v/>
      </c>
      <c r="J124">
        <v>9</v>
      </c>
      <c r="K124" t="str">
        <f>_xlfn.XLOOKUP(_xlfn.XLOOKUP(tblTags[[#This Row],[Tag]],db_drift!$B$2:$B$259,db_drift!$E$2:$E$259),tblFuelTypes[FuelType],tblFuelTypes[FuelTypeID],"")</f>
        <v/>
      </c>
      <c r="L124" t="str">
        <f>_xlfn.XLOOKUP(_xlfn.XLOOKUP(tblTags[[#This Row],[Tag]],db_drift!$B$2:$B$259,db_drift!$F$2:$F$259),tblFuelAllocations[FuelAllocation],tblFuelAllocations[FuelAllocationID],"")</f>
        <v/>
      </c>
      <c r="M124" t="str">
        <f>_xlfn.XLOOKUP(tblTags[[#This Row],[Tag]],tblHelpCalc1[Tag],tblHelpCalc1[Calc1ID],"")</f>
        <v/>
      </c>
      <c r="N124" t="str">
        <f>_xlfn.XLOOKUP(tblTags[[#This Row],[Tag]],tblHelpCalc2[Tag],tblHelpCalc2[Calc2ID],"")</f>
        <v/>
      </c>
      <c r="O124" s="2" t="str">
        <f>_xlfn.XLOOKUP(_xlfn.XLOOKUP(tblTags[[#This Row],[Tag]],tblDbDrift[Tag],tblDbDrift[Hide Tags]),tblHideTags[HideTag],tblHideTags[ID],"")</f>
        <v/>
      </c>
      <c r="P124" s="2"/>
      <c r="Q124" s="2" t="s">
        <v>690</v>
      </c>
      <c r="R124" s="2"/>
      <c r="S124" s="2"/>
      <c r="AS124">
        <v>114</v>
      </c>
      <c r="AT124" t="s">
        <v>145</v>
      </c>
      <c r="AU124" t="s">
        <v>146</v>
      </c>
    </row>
    <row r="125" spans="1:47" x14ac:dyDescent="0.2">
      <c r="A125">
        <v>115</v>
      </c>
      <c r="B125">
        <v>115</v>
      </c>
      <c r="C125" t="s">
        <v>197</v>
      </c>
      <c r="D125" t="s">
        <v>198</v>
      </c>
      <c r="E125" t="s">
        <v>198</v>
      </c>
      <c r="F125" cm="1">
        <f t="array" ref="F125">_xlfn.XLOOKUP(_xlfn.XLOOKUP(tblTags[[#This Row],[Tag]],db_drift!$B$2:$B$259,db_drift!$D$2:$D$259),tblInputTypes[[#All],[InputTypeName]],tblInputTypes[[#All],[InputTypeID]],"")</f>
        <v>2</v>
      </c>
      <c r="G125">
        <v>9</v>
      </c>
      <c r="I125" t="str">
        <f>_xlfn.XLOOKUP(_xlfn.XLOOKUP(tblTags[[#This Row],[Tag]],db_drift!$B$2:$B$259,db_drift!$A$2:$A$259),tblDepartmentHeadings[DepartmentHeading],tblDepartmentHeadings[DepartmentHeadingID],"")</f>
        <v/>
      </c>
      <c r="J125">
        <v>9</v>
      </c>
      <c r="K125" t="str">
        <f>_xlfn.XLOOKUP(_xlfn.XLOOKUP(tblTags[[#This Row],[Tag]],db_drift!$B$2:$B$259,db_drift!$E$2:$E$259),tblFuelTypes[FuelType],tblFuelTypes[FuelTypeID],"")</f>
        <v/>
      </c>
      <c r="L125" t="str">
        <f>_xlfn.XLOOKUP(_xlfn.XLOOKUP(tblTags[[#This Row],[Tag]],db_drift!$B$2:$B$259,db_drift!$F$2:$F$259),tblFuelAllocations[FuelAllocation],tblFuelAllocations[FuelAllocationID],"")</f>
        <v/>
      </c>
      <c r="M125">
        <f>_xlfn.XLOOKUP(tblTags[[#This Row],[Tag]],tblHelpCalc1[Tag],tblHelpCalc1[Calc1ID],"")</f>
        <v>100</v>
      </c>
      <c r="N125" t="str">
        <f>_xlfn.XLOOKUP(tblTags[[#This Row],[Tag]],tblHelpCalc2[Tag],tblHelpCalc2[Calc2ID],"")</f>
        <v/>
      </c>
      <c r="O125" s="2" t="str">
        <f>_xlfn.XLOOKUP(_xlfn.XLOOKUP(tblTags[[#This Row],[Tag]],tblDbDrift[Tag],tblDbDrift[Hide Tags]),tblHideTags[HideTag],tblHideTags[ID],"")</f>
        <v/>
      </c>
      <c r="P125" s="2"/>
      <c r="Q125" s="2" t="s">
        <v>691</v>
      </c>
      <c r="R125" s="2"/>
      <c r="S125" s="2"/>
      <c r="AS125">
        <v>115</v>
      </c>
      <c r="AT125" t="s">
        <v>151</v>
      </c>
      <c r="AU125" t="s">
        <v>216</v>
      </c>
    </row>
    <row r="126" spans="1:47" x14ac:dyDescent="0.2">
      <c r="A126">
        <v>116</v>
      </c>
      <c r="B126">
        <v>116</v>
      </c>
      <c r="C126" t="s">
        <v>199</v>
      </c>
      <c r="D126" t="s">
        <v>200</v>
      </c>
      <c r="E126" t="s">
        <v>200</v>
      </c>
      <c r="F126" cm="1">
        <f t="array" ref="F126">_xlfn.XLOOKUP(_xlfn.XLOOKUP(tblTags[[#This Row],[Tag]],db_drift!$B$2:$B$259,db_drift!$D$2:$D$259),tblInputTypes[[#All],[InputTypeName]],tblInputTypes[[#All],[InputTypeID]],"")</f>
        <v>2</v>
      </c>
      <c r="G126">
        <v>9</v>
      </c>
      <c r="I126" t="str">
        <f>_xlfn.XLOOKUP(_xlfn.XLOOKUP(tblTags[[#This Row],[Tag]],db_drift!$B$2:$B$259,db_drift!$A$2:$A$259),tblDepartmentHeadings[DepartmentHeading],tblDepartmentHeadings[DepartmentHeadingID],"")</f>
        <v/>
      </c>
      <c r="J126">
        <v>9</v>
      </c>
      <c r="K126" t="str">
        <f>_xlfn.XLOOKUP(_xlfn.XLOOKUP(tblTags[[#This Row],[Tag]],db_drift!$B$2:$B$259,db_drift!$E$2:$E$259),tblFuelTypes[FuelType],tblFuelTypes[FuelTypeID],"")</f>
        <v/>
      </c>
      <c r="L126" t="str">
        <f>_xlfn.XLOOKUP(_xlfn.XLOOKUP(tblTags[[#This Row],[Tag]],db_drift!$B$2:$B$259,db_drift!$F$2:$F$259),tblFuelAllocations[FuelAllocation],tblFuelAllocations[FuelAllocationID],"")</f>
        <v/>
      </c>
      <c r="M126">
        <f>_xlfn.XLOOKUP(tblTags[[#This Row],[Tag]],tblHelpCalc1[Tag],tblHelpCalc1[Calc1ID],"")</f>
        <v>101</v>
      </c>
      <c r="N126" t="str">
        <f>_xlfn.XLOOKUP(tblTags[[#This Row],[Tag]],tblHelpCalc2[Tag],tblHelpCalc2[Calc2ID],"")</f>
        <v/>
      </c>
      <c r="O126" s="2" t="str">
        <f>_xlfn.XLOOKUP(_xlfn.XLOOKUP(tblTags[[#This Row],[Tag]],tblDbDrift[Tag],tblDbDrift[Hide Tags]),tblHideTags[HideTag],tblHideTags[ID],"")</f>
        <v/>
      </c>
      <c r="P126" s="2"/>
      <c r="Q126" s="2" t="s">
        <v>692</v>
      </c>
      <c r="R126" s="2"/>
      <c r="S126" s="2"/>
      <c r="AS126">
        <v>116</v>
      </c>
      <c r="AT126" t="s">
        <v>152</v>
      </c>
      <c r="AU126" t="s">
        <v>218</v>
      </c>
    </row>
    <row r="127" spans="1:47" x14ac:dyDescent="0.2">
      <c r="A127">
        <v>117</v>
      </c>
      <c r="B127">
        <v>117</v>
      </c>
      <c r="C127" t="s">
        <v>201</v>
      </c>
      <c r="D127" t="s">
        <v>202</v>
      </c>
      <c r="E127" t="s">
        <v>202</v>
      </c>
      <c r="F127" cm="1">
        <f t="array" ref="F127">_xlfn.XLOOKUP(_xlfn.XLOOKUP(tblTags[[#This Row],[Tag]],db_drift!$B$2:$B$259,db_drift!$D$2:$D$259),tblInputTypes[[#All],[InputTypeName]],tblInputTypes[[#All],[InputTypeID]],"")</f>
        <v>2</v>
      </c>
      <c r="G127">
        <v>9</v>
      </c>
      <c r="I127" t="str">
        <f>_xlfn.XLOOKUP(_xlfn.XLOOKUP(tblTags[[#This Row],[Tag]],db_drift!$B$2:$B$259,db_drift!$A$2:$A$259),tblDepartmentHeadings[DepartmentHeading],tblDepartmentHeadings[DepartmentHeadingID],"")</f>
        <v/>
      </c>
      <c r="J127">
        <v>9</v>
      </c>
      <c r="K127" t="str">
        <f>_xlfn.XLOOKUP(_xlfn.XLOOKUP(tblTags[[#This Row],[Tag]],db_drift!$B$2:$B$259,db_drift!$E$2:$E$259),tblFuelTypes[FuelType],tblFuelTypes[FuelTypeID],"")</f>
        <v/>
      </c>
      <c r="L127" t="str">
        <f>_xlfn.XLOOKUP(_xlfn.XLOOKUP(tblTags[[#This Row],[Tag]],db_drift!$B$2:$B$259,db_drift!$F$2:$F$259),tblFuelAllocations[FuelAllocation],tblFuelAllocations[FuelAllocationID],"")</f>
        <v/>
      </c>
      <c r="M127">
        <f>_xlfn.XLOOKUP(tblTags[[#This Row],[Tag]],tblHelpCalc1[Tag],tblHelpCalc1[Calc1ID],"")</f>
        <v>102</v>
      </c>
      <c r="N127" t="str">
        <f>_xlfn.XLOOKUP(tblTags[[#This Row],[Tag]],tblHelpCalc2[Tag],tblHelpCalc2[Calc2ID],"")</f>
        <v/>
      </c>
      <c r="O127" s="2" t="str">
        <f>_xlfn.XLOOKUP(_xlfn.XLOOKUP(tblTags[[#This Row],[Tag]],tblDbDrift[Tag],tblDbDrift[Hide Tags]),tblHideTags[HideTag],tblHideTags[ID],"")</f>
        <v/>
      </c>
      <c r="P127" s="2"/>
      <c r="Q127" s="2" t="s">
        <v>693</v>
      </c>
      <c r="R127" s="2"/>
      <c r="S127" s="2"/>
      <c r="AS127">
        <v>117</v>
      </c>
      <c r="AT127" t="s">
        <v>153</v>
      </c>
      <c r="AU127" t="s">
        <v>220</v>
      </c>
    </row>
    <row r="128" spans="1:47" x14ac:dyDescent="0.2">
      <c r="A128">
        <v>118</v>
      </c>
      <c r="B128">
        <v>118</v>
      </c>
      <c r="C128" t="s">
        <v>203</v>
      </c>
      <c r="D128" t="s">
        <v>204</v>
      </c>
      <c r="E128" t="s">
        <v>204</v>
      </c>
      <c r="F128" cm="1">
        <f t="array" ref="F128">_xlfn.XLOOKUP(_xlfn.XLOOKUP(tblTags[[#This Row],[Tag]],db_drift!$B$2:$B$259,db_drift!$D$2:$D$259),tblInputTypes[[#All],[InputTypeName]],tblInputTypes[[#All],[InputTypeID]],"")</f>
        <v>2</v>
      </c>
      <c r="G128">
        <v>9</v>
      </c>
      <c r="I128" t="str">
        <f>_xlfn.XLOOKUP(_xlfn.XLOOKUP(tblTags[[#This Row],[Tag]],db_drift!$B$2:$B$259,db_drift!$A$2:$A$259),tblDepartmentHeadings[DepartmentHeading],tblDepartmentHeadings[DepartmentHeadingID],"")</f>
        <v/>
      </c>
      <c r="J128">
        <v>9</v>
      </c>
      <c r="K128" t="str">
        <f>_xlfn.XLOOKUP(_xlfn.XLOOKUP(tblTags[[#This Row],[Tag]],db_drift!$B$2:$B$259,db_drift!$E$2:$E$259),tblFuelTypes[FuelType],tblFuelTypes[FuelTypeID],"")</f>
        <v/>
      </c>
      <c r="L128" t="str">
        <f>_xlfn.XLOOKUP(_xlfn.XLOOKUP(tblTags[[#This Row],[Tag]],db_drift!$B$2:$B$259,db_drift!$F$2:$F$259),tblFuelAllocations[FuelAllocation],tblFuelAllocations[FuelAllocationID],"")</f>
        <v/>
      </c>
      <c r="M128" t="str">
        <f>_xlfn.XLOOKUP(tblTags[[#This Row],[Tag]],tblHelpCalc1[Tag],tblHelpCalc1[Calc1ID],"")</f>
        <v/>
      </c>
      <c r="N128" t="str">
        <f>_xlfn.XLOOKUP(tblTags[[#This Row],[Tag]],tblHelpCalc2[Tag],tblHelpCalc2[Calc2ID],"")</f>
        <v/>
      </c>
      <c r="O128" s="2" t="str">
        <f>_xlfn.XLOOKUP(_xlfn.XLOOKUP(tblTags[[#This Row],[Tag]],tblDbDrift[Tag],tblDbDrift[Hide Tags]),tblHideTags[HideTag],tblHideTags[ID],"")</f>
        <v/>
      </c>
      <c r="P128" s="2"/>
      <c r="Q128" s="2" t="s">
        <v>694</v>
      </c>
      <c r="R128" s="2"/>
      <c r="S128" s="2"/>
      <c r="AS128">
        <v>118</v>
      </c>
      <c r="AT128" t="s">
        <v>154</v>
      </c>
      <c r="AU128" t="s">
        <v>842</v>
      </c>
    </row>
    <row r="129" spans="1:47" x14ac:dyDescent="0.2">
      <c r="A129">
        <v>119</v>
      </c>
      <c r="B129">
        <v>119</v>
      </c>
      <c r="C129" t="s">
        <v>205</v>
      </c>
      <c r="D129" t="s">
        <v>206</v>
      </c>
      <c r="E129" t="s">
        <v>206</v>
      </c>
      <c r="F129" cm="1">
        <f t="array" ref="F129">_xlfn.XLOOKUP(_xlfn.XLOOKUP(tblTags[[#This Row],[Tag]],db_drift!$B$2:$B$259,db_drift!$D$2:$D$259),tblInputTypes[[#All],[InputTypeName]],tblInputTypes[[#All],[InputTypeID]],"")</f>
        <v>2</v>
      </c>
      <c r="G129">
        <v>9</v>
      </c>
      <c r="I129" t="str">
        <f>_xlfn.XLOOKUP(_xlfn.XLOOKUP(tblTags[[#This Row],[Tag]],db_drift!$B$2:$B$259,db_drift!$A$2:$A$259),tblDepartmentHeadings[DepartmentHeading],tblDepartmentHeadings[DepartmentHeadingID],"")</f>
        <v/>
      </c>
      <c r="J129">
        <v>9</v>
      </c>
      <c r="K129" t="str">
        <f>_xlfn.XLOOKUP(_xlfn.XLOOKUP(tblTags[[#This Row],[Tag]],db_drift!$B$2:$B$259,db_drift!$E$2:$E$259),tblFuelTypes[FuelType],tblFuelTypes[FuelTypeID],"")</f>
        <v/>
      </c>
      <c r="L129" t="str">
        <f>_xlfn.XLOOKUP(_xlfn.XLOOKUP(tblTags[[#This Row],[Tag]],db_drift!$B$2:$B$259,db_drift!$F$2:$F$259),tblFuelAllocations[FuelAllocation],tblFuelAllocations[FuelAllocationID],"")</f>
        <v/>
      </c>
      <c r="M129" t="str">
        <f>_xlfn.XLOOKUP(tblTags[[#This Row],[Tag]],tblHelpCalc1[Tag],tblHelpCalc1[Calc1ID],"")</f>
        <v/>
      </c>
      <c r="N129" t="str">
        <f>_xlfn.XLOOKUP(tblTags[[#This Row],[Tag]],tblHelpCalc2[Tag],tblHelpCalc2[Calc2ID],"")</f>
        <v/>
      </c>
      <c r="O129" s="2" t="str">
        <f>_xlfn.XLOOKUP(_xlfn.XLOOKUP(tblTags[[#This Row],[Tag]],tblDbDrift[Tag],tblDbDrift[Hide Tags]),tblHideTags[HideTag],tblHideTags[ID],"")</f>
        <v/>
      </c>
      <c r="P129" s="2"/>
      <c r="Q129" s="2" t="s">
        <v>695</v>
      </c>
      <c r="R129" s="2"/>
      <c r="S129" s="2"/>
      <c r="AS129">
        <v>119</v>
      </c>
      <c r="AT129" t="s">
        <v>155</v>
      </c>
      <c r="AU129" t="s">
        <v>238</v>
      </c>
    </row>
    <row r="130" spans="1:47" x14ac:dyDescent="0.2">
      <c r="A130">
        <v>120</v>
      </c>
      <c r="B130">
        <v>120</v>
      </c>
      <c r="C130" t="s">
        <v>207</v>
      </c>
      <c r="D130" t="s">
        <v>208</v>
      </c>
      <c r="E130" t="s">
        <v>208</v>
      </c>
      <c r="F130" cm="1">
        <f t="array" ref="F130">_xlfn.XLOOKUP(_xlfn.XLOOKUP(tblTags[[#This Row],[Tag]],db_drift!$B$2:$B$259,db_drift!$D$2:$D$259),tblInputTypes[[#All],[InputTypeName]],tblInputTypes[[#All],[InputTypeID]],"")</f>
        <v>2</v>
      </c>
      <c r="G130">
        <v>9</v>
      </c>
      <c r="I130" t="str">
        <f>_xlfn.XLOOKUP(_xlfn.XLOOKUP(tblTags[[#This Row],[Tag]],db_drift!$B$2:$B$259,db_drift!$A$2:$A$259),tblDepartmentHeadings[DepartmentHeading],tblDepartmentHeadings[DepartmentHeadingID],"")</f>
        <v/>
      </c>
      <c r="J130">
        <v>9</v>
      </c>
      <c r="K130" t="str">
        <f>_xlfn.XLOOKUP(_xlfn.XLOOKUP(tblTags[[#This Row],[Tag]],db_drift!$B$2:$B$259,db_drift!$E$2:$E$259),tblFuelTypes[FuelType],tblFuelTypes[FuelTypeID],"")</f>
        <v/>
      </c>
      <c r="L130" t="str">
        <f>_xlfn.XLOOKUP(_xlfn.XLOOKUP(tblTags[[#This Row],[Tag]],db_drift!$B$2:$B$259,db_drift!$F$2:$F$259),tblFuelAllocations[FuelAllocation],tblFuelAllocations[FuelAllocationID],"")</f>
        <v/>
      </c>
      <c r="M130" t="str">
        <f>_xlfn.XLOOKUP(tblTags[[#This Row],[Tag]],tblHelpCalc1[Tag],tblHelpCalc1[Calc1ID],"")</f>
        <v/>
      </c>
      <c r="N130" t="str">
        <f>_xlfn.XLOOKUP(tblTags[[#This Row],[Tag]],tblHelpCalc2[Tag],tblHelpCalc2[Calc2ID],"")</f>
        <v/>
      </c>
      <c r="O130" s="2" t="str">
        <f>_xlfn.XLOOKUP(_xlfn.XLOOKUP(tblTags[[#This Row],[Tag]],tblDbDrift[Tag],tblDbDrift[Hide Tags]),tblHideTags[HideTag],tblHideTags[ID],"")</f>
        <v/>
      </c>
      <c r="P130" s="2"/>
      <c r="Q130" s="2" t="s">
        <v>696</v>
      </c>
      <c r="R130" s="2"/>
      <c r="S130" s="2"/>
      <c r="AS130">
        <v>120</v>
      </c>
      <c r="AT130" t="s">
        <v>156</v>
      </c>
      <c r="AU130" t="s">
        <v>146</v>
      </c>
    </row>
    <row r="131" spans="1:47" x14ac:dyDescent="0.2">
      <c r="A131">
        <v>121</v>
      </c>
      <c r="B131">
        <v>121</v>
      </c>
      <c r="C131" t="s">
        <v>209</v>
      </c>
      <c r="D131" t="s">
        <v>210</v>
      </c>
      <c r="E131" t="s">
        <v>210</v>
      </c>
      <c r="F131" cm="1">
        <f t="array" ref="F131">_xlfn.XLOOKUP(_xlfn.XLOOKUP(tblTags[[#This Row],[Tag]],db_drift!$B$2:$B$259,db_drift!$D$2:$D$259),tblInputTypes[[#All],[InputTypeName]],tblInputTypes[[#All],[InputTypeID]],"")</f>
        <v>2</v>
      </c>
      <c r="G131">
        <v>9</v>
      </c>
      <c r="I131" t="str">
        <f>_xlfn.XLOOKUP(_xlfn.XLOOKUP(tblTags[[#This Row],[Tag]],db_drift!$B$2:$B$259,db_drift!$A$2:$A$259),tblDepartmentHeadings[DepartmentHeading],tblDepartmentHeadings[DepartmentHeadingID],"")</f>
        <v/>
      </c>
      <c r="J131">
        <v>9</v>
      </c>
      <c r="K131" t="str">
        <f>_xlfn.XLOOKUP(_xlfn.XLOOKUP(tblTags[[#This Row],[Tag]],db_drift!$B$2:$B$259,db_drift!$E$2:$E$259),tblFuelTypes[FuelType],tblFuelTypes[FuelTypeID],"")</f>
        <v/>
      </c>
      <c r="L131" t="str">
        <f>_xlfn.XLOOKUP(_xlfn.XLOOKUP(tblTags[[#This Row],[Tag]],db_drift!$B$2:$B$259,db_drift!$F$2:$F$259),tblFuelAllocations[FuelAllocation],tblFuelAllocations[FuelAllocationID],"")</f>
        <v/>
      </c>
      <c r="M131">
        <f>_xlfn.XLOOKUP(tblTags[[#This Row],[Tag]],tblHelpCalc1[Tag],tblHelpCalc1[Calc1ID],"")</f>
        <v>103</v>
      </c>
      <c r="N131" t="str">
        <f>_xlfn.XLOOKUP(tblTags[[#This Row],[Tag]],tblHelpCalc2[Tag],tblHelpCalc2[Calc2ID],"")</f>
        <v/>
      </c>
      <c r="O131" s="2" t="str">
        <f>_xlfn.XLOOKUP(_xlfn.XLOOKUP(tblTags[[#This Row],[Tag]],tblDbDrift[Tag],tblDbDrift[Hide Tags]),tblHideTags[HideTag],tblHideTags[ID],"")</f>
        <v/>
      </c>
      <c r="P131" s="2"/>
      <c r="Q131" s="2" t="s">
        <v>697</v>
      </c>
      <c r="R131" s="2"/>
      <c r="S131" s="2"/>
      <c r="AS131">
        <v>121</v>
      </c>
      <c r="AT131" t="s">
        <v>167</v>
      </c>
      <c r="AU131" t="s">
        <v>216</v>
      </c>
    </row>
    <row r="132" spans="1:47" x14ac:dyDescent="0.2">
      <c r="A132">
        <v>122</v>
      </c>
      <c r="B132">
        <v>122</v>
      </c>
      <c r="C132" t="s">
        <v>211</v>
      </c>
      <c r="D132" t="s">
        <v>212</v>
      </c>
      <c r="E132" t="s">
        <v>212</v>
      </c>
      <c r="F132" cm="1">
        <f t="array" ref="F132">_xlfn.XLOOKUP(_xlfn.XLOOKUP(tblTags[[#This Row],[Tag]],db_drift!$B$2:$B$259,db_drift!$D$2:$D$259),tblInputTypes[[#All],[InputTypeName]],tblInputTypes[[#All],[InputTypeID]],"")</f>
        <v>2</v>
      </c>
      <c r="G132">
        <v>9</v>
      </c>
      <c r="I132" t="str">
        <f>_xlfn.XLOOKUP(_xlfn.XLOOKUP(tblTags[[#This Row],[Tag]],db_drift!$B$2:$B$259,db_drift!$A$2:$A$259),tblDepartmentHeadings[DepartmentHeading],tblDepartmentHeadings[DepartmentHeadingID],"")</f>
        <v/>
      </c>
      <c r="J132">
        <v>9</v>
      </c>
      <c r="K132" t="str">
        <f>_xlfn.XLOOKUP(_xlfn.XLOOKUP(tblTags[[#This Row],[Tag]],db_drift!$B$2:$B$259,db_drift!$E$2:$E$259),tblFuelTypes[FuelType],tblFuelTypes[FuelTypeID],"")</f>
        <v/>
      </c>
      <c r="L132" t="str">
        <f>_xlfn.XLOOKUP(_xlfn.XLOOKUP(tblTags[[#This Row],[Tag]],db_drift!$B$2:$B$259,db_drift!$F$2:$F$259),tblFuelAllocations[FuelAllocation],tblFuelAllocations[FuelAllocationID],"")</f>
        <v/>
      </c>
      <c r="M132">
        <f>_xlfn.XLOOKUP(tblTags[[#This Row],[Tag]],tblHelpCalc1[Tag],tblHelpCalc1[Calc1ID],"")</f>
        <v>104</v>
      </c>
      <c r="N132" t="str">
        <f>_xlfn.XLOOKUP(tblTags[[#This Row],[Tag]],tblHelpCalc2[Tag],tblHelpCalc2[Calc2ID],"")</f>
        <v/>
      </c>
      <c r="O132" s="2" t="str">
        <f>_xlfn.XLOOKUP(_xlfn.XLOOKUP(tblTags[[#This Row],[Tag]],tblDbDrift[Tag],tblDbDrift[Hide Tags]),tblHideTags[HideTag],tblHideTags[ID],"")</f>
        <v/>
      </c>
      <c r="P132" s="2"/>
      <c r="Q132" s="2" t="s">
        <v>698</v>
      </c>
      <c r="R132" s="2"/>
      <c r="S132" s="2"/>
      <c r="AS132">
        <v>122</v>
      </c>
      <c r="AT132" t="s">
        <v>168</v>
      </c>
      <c r="AU132" t="s">
        <v>220</v>
      </c>
    </row>
    <row r="133" spans="1:47" x14ac:dyDescent="0.2">
      <c r="A133">
        <v>123</v>
      </c>
      <c r="B133">
        <v>123</v>
      </c>
      <c r="C133" t="s">
        <v>213</v>
      </c>
      <c r="D133" t="s">
        <v>214</v>
      </c>
      <c r="E133" t="s">
        <v>214</v>
      </c>
      <c r="F133" cm="1">
        <f t="array" ref="F133">_xlfn.XLOOKUP(_xlfn.XLOOKUP(tblTags[[#This Row],[Tag]],db_drift!$B$2:$B$259,db_drift!$D$2:$D$259),tblInputTypes[[#All],[InputTypeName]],tblInputTypes[[#All],[InputTypeID]],"")</f>
        <v>2</v>
      </c>
      <c r="G133">
        <v>9</v>
      </c>
      <c r="I133" t="str">
        <f>_xlfn.XLOOKUP(_xlfn.XLOOKUP(tblTags[[#This Row],[Tag]],db_drift!$B$2:$B$259,db_drift!$A$2:$A$259),tblDepartmentHeadings[DepartmentHeading],tblDepartmentHeadings[DepartmentHeadingID],"")</f>
        <v/>
      </c>
      <c r="J133">
        <v>9</v>
      </c>
      <c r="K133" t="str">
        <f>_xlfn.XLOOKUP(_xlfn.XLOOKUP(tblTags[[#This Row],[Tag]],db_drift!$B$2:$B$259,db_drift!$E$2:$E$259),tblFuelTypes[FuelType],tblFuelTypes[FuelTypeID],"")</f>
        <v/>
      </c>
      <c r="L133" t="str">
        <f>_xlfn.XLOOKUP(_xlfn.XLOOKUP(tblTags[[#This Row],[Tag]],db_drift!$B$2:$B$259,db_drift!$F$2:$F$259),tblFuelAllocations[FuelAllocation],tblFuelAllocations[FuelAllocationID],"")</f>
        <v/>
      </c>
      <c r="M133" t="str">
        <f>_xlfn.XLOOKUP(tblTags[[#This Row],[Tag]],tblHelpCalc1[Tag],tblHelpCalc1[Calc1ID],"")</f>
        <v/>
      </c>
      <c r="N133" t="str">
        <f>_xlfn.XLOOKUP(tblTags[[#This Row],[Tag]],tblHelpCalc2[Tag],tblHelpCalc2[Calc2ID],"")</f>
        <v/>
      </c>
      <c r="O133" s="2" t="str">
        <f>_xlfn.XLOOKUP(_xlfn.XLOOKUP(tblTags[[#This Row],[Tag]],tblDbDrift[Tag],tblDbDrift[Hide Tags]),tblHideTags[HideTag],tblHideTags[ID],"")</f>
        <v/>
      </c>
      <c r="P133" s="2"/>
      <c r="Q133" s="2" t="s">
        <v>699</v>
      </c>
      <c r="R133" s="2"/>
      <c r="S133" s="2"/>
      <c r="AS133">
        <v>123</v>
      </c>
      <c r="AT133" t="s">
        <v>169</v>
      </c>
      <c r="AU133" t="s">
        <v>842</v>
      </c>
    </row>
    <row r="134" spans="1:47" x14ac:dyDescent="0.2">
      <c r="A134">
        <v>124</v>
      </c>
      <c r="B134">
        <v>124</v>
      </c>
      <c r="C134" t="s">
        <v>215</v>
      </c>
      <c r="D134" t="s">
        <v>216</v>
      </c>
      <c r="E134" t="s">
        <v>216</v>
      </c>
      <c r="F134" cm="1">
        <f t="array" ref="F134">_xlfn.XLOOKUP(_xlfn.XLOOKUP(tblTags[[#This Row],[Tag]],db_drift!$B$2:$B$259,db_drift!$D$2:$D$259),tblInputTypes[[#All],[InputTypeName]],tblInputTypes[[#All],[InputTypeID]],"")</f>
        <v>2</v>
      </c>
      <c r="G134">
        <v>9</v>
      </c>
      <c r="I134" t="str">
        <f>_xlfn.XLOOKUP(_xlfn.XLOOKUP(tblTags[[#This Row],[Tag]],db_drift!$B$2:$B$259,db_drift!$A$2:$A$259),tblDepartmentHeadings[DepartmentHeading],tblDepartmentHeadings[DepartmentHeadingID],"")</f>
        <v/>
      </c>
      <c r="J134">
        <v>9</v>
      </c>
      <c r="K134" t="str">
        <f>_xlfn.XLOOKUP(_xlfn.XLOOKUP(tblTags[[#This Row],[Tag]],db_drift!$B$2:$B$259,db_drift!$E$2:$E$259),tblFuelTypes[FuelType],tblFuelTypes[FuelTypeID],"")</f>
        <v/>
      </c>
      <c r="L134" t="str">
        <f>_xlfn.XLOOKUP(_xlfn.XLOOKUP(tblTags[[#This Row],[Tag]],db_drift!$B$2:$B$259,db_drift!$F$2:$F$259),tblFuelAllocations[FuelAllocation],tblFuelAllocations[FuelAllocationID],"")</f>
        <v/>
      </c>
      <c r="M134">
        <f>_xlfn.XLOOKUP(tblTags[[#This Row],[Tag]],tblHelpCalc1[Tag],tblHelpCalc1[Calc1ID],"")</f>
        <v>126</v>
      </c>
      <c r="N134" t="str">
        <f>_xlfn.XLOOKUP(tblTags[[#This Row],[Tag]],tblHelpCalc2[Tag],tblHelpCalc2[Calc2ID],"")</f>
        <v/>
      </c>
      <c r="O134" s="2" t="str">
        <f>_xlfn.XLOOKUP(_xlfn.XLOOKUP(tblTags[[#This Row],[Tag]],tblDbDrift[Tag],tblDbDrift[Hide Tags]),tblHideTags[HideTag],tblHideTags[ID],"")</f>
        <v/>
      </c>
      <c r="P134" s="2"/>
      <c r="Q134" s="2" t="s">
        <v>700</v>
      </c>
      <c r="R134" s="2"/>
      <c r="S134" s="2"/>
      <c r="AS134">
        <v>124</v>
      </c>
      <c r="AT134" t="s">
        <v>170</v>
      </c>
      <c r="AU134" t="s">
        <v>238</v>
      </c>
    </row>
    <row r="135" spans="1:47" x14ac:dyDescent="0.2">
      <c r="A135">
        <v>125</v>
      </c>
      <c r="B135">
        <v>125</v>
      </c>
      <c r="C135" t="s">
        <v>217</v>
      </c>
      <c r="D135" t="s">
        <v>218</v>
      </c>
      <c r="E135" t="s">
        <v>218</v>
      </c>
      <c r="F135" cm="1">
        <f t="array" ref="F135">_xlfn.XLOOKUP(_xlfn.XLOOKUP(tblTags[[#This Row],[Tag]],db_drift!$B$2:$B$259,db_drift!$D$2:$D$259),tblInputTypes[[#All],[InputTypeName]],tblInputTypes[[#All],[InputTypeID]],"")</f>
        <v>2</v>
      </c>
      <c r="G135">
        <v>9</v>
      </c>
      <c r="I135" t="str">
        <f>_xlfn.XLOOKUP(_xlfn.XLOOKUP(tblTags[[#This Row],[Tag]],db_drift!$B$2:$B$259,db_drift!$A$2:$A$259),tblDepartmentHeadings[DepartmentHeading],tblDepartmentHeadings[DepartmentHeadingID],"")</f>
        <v/>
      </c>
      <c r="J135">
        <v>9</v>
      </c>
      <c r="K135" t="str">
        <f>_xlfn.XLOOKUP(_xlfn.XLOOKUP(tblTags[[#This Row],[Tag]],db_drift!$B$2:$B$259,db_drift!$E$2:$E$259),tblFuelTypes[FuelType],tblFuelTypes[FuelTypeID],"")</f>
        <v/>
      </c>
      <c r="L135" t="str">
        <f>_xlfn.XLOOKUP(_xlfn.XLOOKUP(tblTags[[#This Row],[Tag]],db_drift!$B$2:$B$259,db_drift!$F$2:$F$259),tblFuelAllocations[FuelAllocation],tblFuelAllocations[FuelAllocationID],"")</f>
        <v/>
      </c>
      <c r="M135">
        <f>_xlfn.XLOOKUP(tblTags[[#This Row],[Tag]],tblHelpCalc1[Tag],tblHelpCalc1[Calc1ID],"")</f>
        <v>127</v>
      </c>
      <c r="N135" t="str">
        <f>_xlfn.XLOOKUP(tblTags[[#This Row],[Tag]],tblHelpCalc2[Tag],tblHelpCalc2[Calc2ID],"")</f>
        <v/>
      </c>
      <c r="O135" s="2" t="str">
        <f>_xlfn.XLOOKUP(_xlfn.XLOOKUP(tblTags[[#This Row],[Tag]],tblDbDrift[Tag],tblDbDrift[Hide Tags]),tblHideTags[HideTag],tblHideTags[ID],"")</f>
        <v/>
      </c>
      <c r="P135" s="2"/>
      <c r="Q135" s="2" t="s">
        <v>701</v>
      </c>
      <c r="R135" s="2"/>
      <c r="S135" s="2"/>
      <c r="AS135">
        <v>125</v>
      </c>
      <c r="AT135" t="s">
        <v>171</v>
      </c>
      <c r="AU135" t="s">
        <v>146</v>
      </c>
    </row>
    <row r="136" spans="1:47" x14ac:dyDescent="0.2">
      <c r="A136">
        <v>126</v>
      </c>
      <c r="B136">
        <v>126</v>
      </c>
      <c r="C136" t="s">
        <v>219</v>
      </c>
      <c r="D136" t="s">
        <v>220</v>
      </c>
      <c r="E136" t="s">
        <v>220</v>
      </c>
      <c r="F136" cm="1">
        <f t="array" ref="F136">_xlfn.XLOOKUP(_xlfn.XLOOKUP(tblTags[[#This Row],[Tag]],db_drift!$B$2:$B$259,db_drift!$D$2:$D$259),tblInputTypes[[#All],[InputTypeName]],tblInputTypes[[#All],[InputTypeID]],"")</f>
        <v>2</v>
      </c>
      <c r="G136">
        <v>9</v>
      </c>
      <c r="I136" t="str">
        <f>_xlfn.XLOOKUP(_xlfn.XLOOKUP(tblTags[[#This Row],[Tag]],db_drift!$B$2:$B$259,db_drift!$A$2:$A$259),tblDepartmentHeadings[DepartmentHeading],tblDepartmentHeadings[DepartmentHeadingID],"")</f>
        <v/>
      </c>
      <c r="J136">
        <v>9</v>
      </c>
      <c r="K136" t="str">
        <f>_xlfn.XLOOKUP(_xlfn.XLOOKUP(tblTags[[#This Row],[Tag]],db_drift!$B$2:$B$259,db_drift!$E$2:$E$259),tblFuelTypes[FuelType],tblFuelTypes[FuelTypeID],"")</f>
        <v/>
      </c>
      <c r="L136" t="str">
        <f>_xlfn.XLOOKUP(_xlfn.XLOOKUP(tblTags[[#This Row],[Tag]],db_drift!$B$2:$B$259,db_drift!$F$2:$F$259),tblFuelAllocations[FuelAllocation],tblFuelAllocations[FuelAllocationID],"")</f>
        <v/>
      </c>
      <c r="M136">
        <f>_xlfn.XLOOKUP(tblTags[[#This Row],[Tag]],tblHelpCalc1[Tag],tblHelpCalc1[Calc1ID],"")</f>
        <v>128</v>
      </c>
      <c r="N136" t="str">
        <f>_xlfn.XLOOKUP(tblTags[[#This Row],[Tag]],tblHelpCalc2[Tag],tblHelpCalc2[Calc2ID],"")</f>
        <v/>
      </c>
      <c r="O136" s="2" t="str">
        <f>_xlfn.XLOOKUP(_xlfn.XLOOKUP(tblTags[[#This Row],[Tag]],tblDbDrift[Tag],tblDbDrift[Hide Tags]),tblHideTags[HideTag],tblHideTags[ID],"")</f>
        <v/>
      </c>
      <c r="P136" s="2"/>
      <c r="Q136" s="2" t="s">
        <v>702</v>
      </c>
      <c r="R136" s="2"/>
      <c r="S136" s="2"/>
      <c r="AS136">
        <v>126</v>
      </c>
      <c r="AT136" t="s">
        <v>215</v>
      </c>
      <c r="AU136" t="s">
        <v>216</v>
      </c>
    </row>
    <row r="137" spans="1:47" x14ac:dyDescent="0.2">
      <c r="A137">
        <v>127</v>
      </c>
      <c r="B137">
        <v>127</v>
      </c>
      <c r="C137" t="s">
        <v>221</v>
      </c>
      <c r="D137" t="s">
        <v>146</v>
      </c>
      <c r="E137" t="s">
        <v>146</v>
      </c>
      <c r="F137" cm="1">
        <f t="array" ref="F137">_xlfn.XLOOKUP(_xlfn.XLOOKUP(tblTags[[#This Row],[Tag]],db_drift!$B$2:$B$259,db_drift!$D$2:$D$259),tblInputTypes[[#All],[InputTypeName]],tblInputTypes[[#All],[InputTypeID]],"")</f>
        <v>2</v>
      </c>
      <c r="G137">
        <v>9</v>
      </c>
      <c r="I137" t="str">
        <f>_xlfn.XLOOKUP(_xlfn.XLOOKUP(tblTags[[#This Row],[Tag]],db_drift!$B$2:$B$259,db_drift!$A$2:$A$259),tblDepartmentHeadings[DepartmentHeading],tblDepartmentHeadings[DepartmentHeadingID],"")</f>
        <v/>
      </c>
      <c r="J137">
        <v>9</v>
      </c>
      <c r="K137" t="str">
        <f>_xlfn.XLOOKUP(_xlfn.XLOOKUP(tblTags[[#This Row],[Tag]],db_drift!$B$2:$B$259,db_drift!$E$2:$E$259),tblFuelTypes[FuelType],tblFuelTypes[FuelTypeID],"")</f>
        <v/>
      </c>
      <c r="L137" t="str">
        <f>_xlfn.XLOOKUP(_xlfn.XLOOKUP(tblTags[[#This Row],[Tag]],db_drift!$B$2:$B$259,db_drift!$F$2:$F$259),tblFuelAllocations[FuelAllocation],tblFuelAllocations[FuelAllocationID],"")</f>
        <v/>
      </c>
      <c r="M137">
        <f>_xlfn.XLOOKUP(tblTags[[#This Row],[Tag]],tblHelpCalc1[Tag],tblHelpCalc1[Calc1ID],"")</f>
        <v>129</v>
      </c>
      <c r="N137" t="str">
        <f>_xlfn.XLOOKUP(tblTags[[#This Row],[Tag]],tblHelpCalc2[Tag],tblHelpCalc2[Calc2ID],"")</f>
        <v/>
      </c>
      <c r="O137" s="2" t="str">
        <f>_xlfn.XLOOKUP(_xlfn.XLOOKUP(tblTags[[#This Row],[Tag]],tblDbDrift[Tag],tblDbDrift[Hide Tags]),tblHideTags[HideTag],tblHideTags[ID],"")</f>
        <v/>
      </c>
      <c r="P137" s="2"/>
      <c r="Q137" s="2" t="s">
        <v>703</v>
      </c>
      <c r="R137" s="2"/>
      <c r="S137" s="2"/>
      <c r="AS137">
        <v>127</v>
      </c>
      <c r="AT137" t="s">
        <v>217</v>
      </c>
      <c r="AU137" t="s">
        <v>218</v>
      </c>
    </row>
    <row r="138" spans="1:47" x14ac:dyDescent="0.2">
      <c r="A138">
        <v>128</v>
      </c>
      <c r="B138">
        <v>128</v>
      </c>
      <c r="C138" t="s">
        <v>222</v>
      </c>
      <c r="D138" t="s">
        <v>223</v>
      </c>
      <c r="E138" t="s">
        <v>223</v>
      </c>
      <c r="F138" cm="1">
        <f t="array" ref="F138">_xlfn.XLOOKUP(_xlfn.XLOOKUP(tblTags[[#This Row],[Tag]],db_drift!$B$2:$B$259,db_drift!$D$2:$D$259),tblInputTypes[[#All],[InputTypeName]],tblInputTypes[[#All],[InputTypeID]],"")</f>
        <v>2</v>
      </c>
      <c r="G138">
        <v>9</v>
      </c>
      <c r="I138" t="str">
        <f>_xlfn.XLOOKUP(_xlfn.XLOOKUP(tblTags[[#This Row],[Tag]],db_drift!$B$2:$B$259,db_drift!$A$2:$A$259),tblDepartmentHeadings[DepartmentHeading],tblDepartmentHeadings[DepartmentHeadingID],"")</f>
        <v/>
      </c>
      <c r="J138">
        <v>9</v>
      </c>
      <c r="K138" t="str">
        <f>_xlfn.XLOOKUP(_xlfn.XLOOKUP(tblTags[[#This Row],[Tag]],db_drift!$B$2:$B$259,db_drift!$E$2:$E$259),tblFuelTypes[FuelType],tblFuelTypes[FuelTypeID],"")</f>
        <v/>
      </c>
      <c r="L138" t="str">
        <f>_xlfn.XLOOKUP(_xlfn.XLOOKUP(tblTags[[#This Row],[Tag]],db_drift!$B$2:$B$259,db_drift!$F$2:$F$259),tblFuelAllocations[FuelAllocation],tblFuelAllocations[FuelAllocationID],"")</f>
        <v/>
      </c>
      <c r="M138" t="str">
        <f>_xlfn.XLOOKUP(tblTags[[#This Row],[Tag]],tblHelpCalc1[Tag],tblHelpCalc1[Calc1ID],"")</f>
        <v/>
      </c>
      <c r="N138" t="str">
        <f>_xlfn.XLOOKUP(tblTags[[#This Row],[Tag]],tblHelpCalc2[Tag],tblHelpCalc2[Calc2ID],"")</f>
        <v/>
      </c>
      <c r="O138" s="2" t="str">
        <f>_xlfn.XLOOKUP(_xlfn.XLOOKUP(tblTags[[#This Row],[Tag]],tblDbDrift[Tag],tblDbDrift[Hide Tags]),tblHideTags[HideTag],tblHideTags[ID],"")</f>
        <v/>
      </c>
      <c r="P138" s="2"/>
      <c r="Q138" s="2" t="s">
        <v>704</v>
      </c>
      <c r="R138" s="2"/>
      <c r="S138" s="2"/>
      <c r="AS138">
        <v>128</v>
      </c>
      <c r="AT138" t="s">
        <v>219</v>
      </c>
      <c r="AU138" t="s">
        <v>843</v>
      </c>
    </row>
    <row r="139" spans="1:47" x14ac:dyDescent="0.2">
      <c r="A139">
        <v>129</v>
      </c>
      <c r="B139">
        <v>129</v>
      </c>
      <c r="C139" t="s">
        <v>224</v>
      </c>
      <c r="D139" t="s">
        <v>225</v>
      </c>
      <c r="E139" t="s">
        <v>225</v>
      </c>
      <c r="F139" cm="1">
        <f t="array" ref="F139">_xlfn.XLOOKUP(_xlfn.XLOOKUP(tblTags[[#This Row],[Tag]],db_drift!$B$2:$B$259,db_drift!$D$2:$D$259),tblInputTypes[[#All],[InputTypeName]],tblInputTypes[[#All],[InputTypeID]],"")</f>
        <v>2</v>
      </c>
      <c r="G139">
        <v>9</v>
      </c>
      <c r="I139" t="str">
        <f>_xlfn.XLOOKUP(_xlfn.XLOOKUP(tblTags[[#This Row],[Tag]],db_drift!$B$2:$B$259,db_drift!$A$2:$A$259),tblDepartmentHeadings[DepartmentHeading],tblDepartmentHeadings[DepartmentHeadingID],"")</f>
        <v/>
      </c>
      <c r="J139">
        <v>9</v>
      </c>
      <c r="K139" t="str">
        <f>_xlfn.XLOOKUP(_xlfn.XLOOKUP(tblTags[[#This Row],[Tag]],db_drift!$B$2:$B$259,db_drift!$E$2:$E$259),tblFuelTypes[FuelType],tblFuelTypes[FuelTypeID],"")</f>
        <v/>
      </c>
      <c r="L139" t="str">
        <f>_xlfn.XLOOKUP(_xlfn.XLOOKUP(tblTags[[#This Row],[Tag]],db_drift!$B$2:$B$259,db_drift!$F$2:$F$259),tblFuelAllocations[FuelAllocation],tblFuelAllocations[FuelAllocationID],"")</f>
        <v/>
      </c>
      <c r="M139">
        <f>_xlfn.XLOOKUP(tblTags[[#This Row],[Tag]],tblHelpCalc1[Tag],tblHelpCalc1[Calc1ID],"")</f>
        <v>105</v>
      </c>
      <c r="N139" t="str">
        <f>_xlfn.XLOOKUP(tblTags[[#This Row],[Tag]],tblHelpCalc2[Tag],tblHelpCalc2[Calc2ID],"")</f>
        <v/>
      </c>
      <c r="O139" s="2" t="str">
        <f>_xlfn.XLOOKUP(_xlfn.XLOOKUP(tblTags[[#This Row],[Tag]],tblDbDrift[Tag],tblDbDrift[Hide Tags]),tblHideTags[HideTag],tblHideTags[ID],"")</f>
        <v/>
      </c>
      <c r="P139" s="2"/>
      <c r="Q139" s="2" t="s">
        <v>705</v>
      </c>
      <c r="R139" s="2"/>
      <c r="S139" s="2"/>
      <c r="AS139">
        <v>129</v>
      </c>
      <c r="AT139" t="s">
        <v>221</v>
      </c>
      <c r="AU139" t="s">
        <v>146</v>
      </c>
    </row>
    <row r="140" spans="1:47" x14ac:dyDescent="0.2">
      <c r="A140">
        <v>130</v>
      </c>
      <c r="B140">
        <v>130</v>
      </c>
      <c r="C140" t="s">
        <v>226</v>
      </c>
      <c r="D140" t="s">
        <v>227</v>
      </c>
      <c r="E140" t="s">
        <v>227</v>
      </c>
      <c r="F140" cm="1">
        <f t="array" ref="F140">_xlfn.XLOOKUP(_xlfn.XLOOKUP(tblTags[[#This Row],[Tag]],db_drift!$B$2:$B$259,db_drift!$D$2:$D$259),tblInputTypes[[#All],[InputTypeName]],tblInputTypes[[#All],[InputTypeID]],"")</f>
        <v>2</v>
      </c>
      <c r="G140">
        <v>9</v>
      </c>
      <c r="I140" t="str">
        <f>_xlfn.XLOOKUP(_xlfn.XLOOKUP(tblTags[[#This Row],[Tag]],db_drift!$B$2:$B$259,db_drift!$A$2:$A$259),tblDepartmentHeadings[DepartmentHeading],tblDepartmentHeadings[DepartmentHeadingID],"")</f>
        <v/>
      </c>
      <c r="J140">
        <v>9</v>
      </c>
      <c r="K140" t="str">
        <f>_xlfn.XLOOKUP(_xlfn.XLOOKUP(tblTags[[#This Row],[Tag]],db_drift!$B$2:$B$259,db_drift!$E$2:$E$259),tblFuelTypes[FuelType],tblFuelTypes[FuelTypeID],"")</f>
        <v/>
      </c>
      <c r="L140" t="str">
        <f>_xlfn.XLOOKUP(_xlfn.XLOOKUP(tblTags[[#This Row],[Tag]],db_drift!$B$2:$B$259,db_drift!$F$2:$F$259),tblFuelAllocations[FuelAllocation],tblFuelAllocations[FuelAllocationID],"")</f>
        <v/>
      </c>
      <c r="M140" t="str">
        <f>_xlfn.XLOOKUP(tblTags[[#This Row],[Tag]],tblHelpCalc1[Tag],tblHelpCalc1[Calc1ID],"")</f>
        <v/>
      </c>
      <c r="N140" t="str">
        <f>_xlfn.XLOOKUP(tblTags[[#This Row],[Tag]],tblHelpCalc2[Tag],tblHelpCalc2[Calc2ID],"")</f>
        <v/>
      </c>
      <c r="O140" s="2" t="str">
        <f>_xlfn.XLOOKUP(_xlfn.XLOOKUP(tblTags[[#This Row],[Tag]],tblDbDrift[Tag],tblDbDrift[Hide Tags]),tblHideTags[HideTag],tblHideTags[ID],"")</f>
        <v/>
      </c>
      <c r="P140" s="2"/>
      <c r="Q140" s="2" t="s">
        <v>706</v>
      </c>
      <c r="R140" s="2"/>
      <c r="S140" s="2"/>
    </row>
    <row r="141" spans="1:47" x14ac:dyDescent="0.2">
      <c r="A141">
        <v>131</v>
      </c>
      <c r="B141">
        <v>131</v>
      </c>
      <c r="C141" t="s">
        <v>228</v>
      </c>
      <c r="D141" t="s">
        <v>229</v>
      </c>
      <c r="E141" t="s">
        <v>229</v>
      </c>
      <c r="F141" cm="1">
        <f t="array" ref="F141">_xlfn.XLOOKUP(_xlfn.XLOOKUP(tblTags[[#This Row],[Tag]],db_drift!$B$2:$B$259,db_drift!$D$2:$D$259),tblInputTypes[[#All],[InputTypeName]],tblInputTypes[[#All],[InputTypeID]],"")</f>
        <v>2</v>
      </c>
      <c r="G141">
        <v>9</v>
      </c>
      <c r="I141" t="str">
        <f>_xlfn.XLOOKUP(_xlfn.XLOOKUP(tblTags[[#This Row],[Tag]],db_drift!$B$2:$B$259,db_drift!$A$2:$A$259),tblDepartmentHeadings[DepartmentHeading],tblDepartmentHeadings[DepartmentHeadingID],"")</f>
        <v/>
      </c>
      <c r="J141">
        <v>9</v>
      </c>
      <c r="K141" t="str">
        <f>_xlfn.XLOOKUP(_xlfn.XLOOKUP(tblTags[[#This Row],[Tag]],db_drift!$B$2:$B$259,db_drift!$E$2:$E$259),tblFuelTypes[FuelType],tblFuelTypes[FuelTypeID],"")</f>
        <v/>
      </c>
      <c r="L141" t="str">
        <f>_xlfn.XLOOKUP(_xlfn.XLOOKUP(tblTags[[#This Row],[Tag]],db_drift!$B$2:$B$259,db_drift!$F$2:$F$259),tblFuelAllocations[FuelAllocation],tblFuelAllocations[FuelAllocationID],"")</f>
        <v/>
      </c>
      <c r="M141">
        <f>_xlfn.XLOOKUP(tblTags[[#This Row],[Tag]],tblHelpCalc1[Tag],tblHelpCalc1[Calc1ID],"")</f>
        <v>106</v>
      </c>
      <c r="N141" t="str">
        <f>_xlfn.XLOOKUP(tblTags[[#This Row],[Tag]],tblHelpCalc2[Tag],tblHelpCalc2[Calc2ID],"")</f>
        <v/>
      </c>
      <c r="O141" s="2" t="str">
        <f>_xlfn.XLOOKUP(_xlfn.XLOOKUP(tblTags[[#This Row],[Tag]],tblDbDrift[Tag],tblDbDrift[Hide Tags]),tblHideTags[HideTag],tblHideTags[ID],"")</f>
        <v/>
      </c>
      <c r="P141" s="2"/>
      <c r="Q141" s="2" t="s">
        <v>707</v>
      </c>
      <c r="R141" s="2"/>
      <c r="S141" s="2"/>
    </row>
    <row r="142" spans="1:47" x14ac:dyDescent="0.2">
      <c r="A142">
        <v>132</v>
      </c>
      <c r="B142">
        <v>132</v>
      </c>
      <c r="C142" t="s">
        <v>230</v>
      </c>
      <c r="D142" t="s">
        <v>231</v>
      </c>
      <c r="E142" t="s">
        <v>231</v>
      </c>
      <c r="F142" cm="1">
        <f t="array" ref="F142">_xlfn.XLOOKUP(_xlfn.XLOOKUP(tblTags[[#This Row],[Tag]],db_drift!$B$2:$B$259,db_drift!$D$2:$D$259),tblInputTypes[[#All],[InputTypeName]],tblInputTypes[[#All],[InputTypeID]],"")</f>
        <v>2</v>
      </c>
      <c r="G142">
        <v>9</v>
      </c>
      <c r="I142" t="str">
        <f>_xlfn.XLOOKUP(_xlfn.XLOOKUP(tblTags[[#This Row],[Tag]],db_drift!$B$2:$B$259,db_drift!$A$2:$A$259),tblDepartmentHeadings[DepartmentHeading],tblDepartmentHeadings[DepartmentHeadingID],"")</f>
        <v/>
      </c>
      <c r="J142">
        <v>9</v>
      </c>
      <c r="K142" t="str">
        <f>_xlfn.XLOOKUP(_xlfn.XLOOKUP(tblTags[[#This Row],[Tag]],db_drift!$B$2:$B$259,db_drift!$E$2:$E$259),tblFuelTypes[FuelType],tblFuelTypes[FuelTypeID],"")</f>
        <v/>
      </c>
      <c r="L142" t="str">
        <f>_xlfn.XLOOKUP(_xlfn.XLOOKUP(tblTags[[#This Row],[Tag]],db_drift!$B$2:$B$259,db_drift!$F$2:$F$259),tblFuelAllocations[FuelAllocation],tblFuelAllocations[FuelAllocationID],"")</f>
        <v/>
      </c>
      <c r="M142">
        <f>_xlfn.XLOOKUP(tblTags[[#This Row],[Tag]],tblHelpCalc1[Tag],tblHelpCalc1[Calc1ID],"")</f>
        <v>107</v>
      </c>
      <c r="N142" t="str">
        <f>_xlfn.XLOOKUP(tblTags[[#This Row],[Tag]],tblHelpCalc2[Tag],tblHelpCalc2[Calc2ID],"")</f>
        <v/>
      </c>
      <c r="O142" s="2" t="str">
        <f>_xlfn.XLOOKUP(_xlfn.XLOOKUP(tblTags[[#This Row],[Tag]],tblDbDrift[Tag],tblDbDrift[Hide Tags]),tblHideTags[HideTag],tblHideTags[ID],"")</f>
        <v/>
      </c>
      <c r="P142" s="2"/>
      <c r="Q142" s="2" t="s">
        <v>708</v>
      </c>
      <c r="R142" s="2"/>
      <c r="S142" s="2"/>
    </row>
    <row r="143" spans="1:47" x14ac:dyDescent="0.2">
      <c r="A143">
        <v>133</v>
      </c>
      <c r="B143">
        <v>133</v>
      </c>
      <c r="C143" t="s">
        <v>232</v>
      </c>
      <c r="D143" t="s">
        <v>233</v>
      </c>
      <c r="E143" t="s">
        <v>233</v>
      </c>
      <c r="F143" cm="1">
        <f t="array" ref="F143">_xlfn.XLOOKUP(_xlfn.XLOOKUP(tblTags[[#This Row],[Tag]],db_drift!$B$2:$B$259,db_drift!$D$2:$D$259),tblInputTypes[[#All],[InputTypeName]],tblInputTypes[[#All],[InputTypeID]],"")</f>
        <v>2</v>
      </c>
      <c r="G143">
        <v>9</v>
      </c>
      <c r="I143" t="str">
        <f>_xlfn.XLOOKUP(_xlfn.XLOOKUP(tblTags[[#This Row],[Tag]],db_drift!$B$2:$B$259,db_drift!$A$2:$A$259),tblDepartmentHeadings[DepartmentHeading],tblDepartmentHeadings[DepartmentHeadingID],"")</f>
        <v/>
      </c>
      <c r="J143">
        <v>9</v>
      </c>
      <c r="K143" t="str">
        <f>_xlfn.XLOOKUP(_xlfn.XLOOKUP(tblTags[[#This Row],[Tag]],db_drift!$B$2:$B$259,db_drift!$E$2:$E$259),tblFuelTypes[FuelType],tblFuelTypes[FuelTypeID],"")</f>
        <v/>
      </c>
      <c r="L143" t="str">
        <f>_xlfn.XLOOKUP(_xlfn.XLOOKUP(tblTags[[#This Row],[Tag]],db_drift!$B$2:$B$259,db_drift!$F$2:$F$259),tblFuelAllocations[FuelAllocation],tblFuelAllocations[FuelAllocationID],"")</f>
        <v/>
      </c>
      <c r="M143">
        <f>_xlfn.XLOOKUP(tblTags[[#This Row],[Tag]],tblHelpCalc1[Tag],tblHelpCalc1[Calc1ID],"")</f>
        <v>108</v>
      </c>
      <c r="N143" t="str">
        <f>_xlfn.XLOOKUP(tblTags[[#This Row],[Tag]],tblHelpCalc2[Tag],tblHelpCalc2[Calc2ID],"")</f>
        <v/>
      </c>
      <c r="O143" s="2" t="str">
        <f>_xlfn.XLOOKUP(_xlfn.XLOOKUP(tblTags[[#This Row],[Tag]],tblDbDrift[Tag],tblDbDrift[Hide Tags]),tblHideTags[HideTag],tblHideTags[ID],"")</f>
        <v/>
      </c>
      <c r="P143" s="2"/>
      <c r="Q143" s="2" t="s">
        <v>709</v>
      </c>
      <c r="R143" s="2"/>
      <c r="S143" s="2"/>
    </row>
    <row r="144" spans="1:47" x14ac:dyDescent="0.2">
      <c r="A144">
        <v>134</v>
      </c>
      <c r="B144">
        <v>134</v>
      </c>
      <c r="C144" t="s">
        <v>234</v>
      </c>
      <c r="D144" t="s">
        <v>92</v>
      </c>
      <c r="E144" t="s">
        <v>92</v>
      </c>
      <c r="F144" cm="1">
        <f t="array" ref="F144">_xlfn.XLOOKUP(_xlfn.XLOOKUP(tblTags[[#This Row],[Tag]],db_drift!$B$2:$B$259,db_drift!$D$2:$D$259),tblInputTypes[[#All],[InputTypeName]],tblInputTypes[[#All],[InputTypeID]],"")</f>
        <v>2</v>
      </c>
      <c r="G144">
        <v>9</v>
      </c>
      <c r="I144" t="str">
        <f>_xlfn.XLOOKUP(_xlfn.XLOOKUP(tblTags[[#This Row],[Tag]],db_drift!$B$2:$B$259,db_drift!$A$2:$A$259),tblDepartmentHeadings[DepartmentHeading],tblDepartmentHeadings[DepartmentHeadingID],"")</f>
        <v/>
      </c>
      <c r="J144">
        <v>9</v>
      </c>
      <c r="K144" t="str">
        <f>_xlfn.XLOOKUP(_xlfn.XLOOKUP(tblTags[[#This Row],[Tag]],db_drift!$B$2:$B$259,db_drift!$E$2:$E$259),tblFuelTypes[FuelType],tblFuelTypes[FuelTypeID],"")</f>
        <v/>
      </c>
      <c r="L144" t="str">
        <f>_xlfn.XLOOKUP(_xlfn.XLOOKUP(tblTags[[#This Row],[Tag]],db_drift!$B$2:$B$259,db_drift!$F$2:$F$259),tblFuelAllocations[FuelAllocation],tblFuelAllocations[FuelAllocationID],"")</f>
        <v/>
      </c>
      <c r="M144" t="str">
        <f>_xlfn.XLOOKUP(tblTags[[#This Row],[Tag]],tblHelpCalc1[Tag],tblHelpCalc1[Calc1ID],"")</f>
        <v/>
      </c>
      <c r="N144" t="str">
        <f>_xlfn.XLOOKUP(tblTags[[#This Row],[Tag]],tblHelpCalc2[Tag],tblHelpCalc2[Calc2ID],"")</f>
        <v/>
      </c>
      <c r="O144" s="2" t="str">
        <f>_xlfn.XLOOKUP(_xlfn.XLOOKUP(tblTags[[#This Row],[Tag]],tblDbDrift[Tag],tblDbDrift[Hide Tags]),tblHideTags[HideTag],tblHideTags[ID],"")</f>
        <v/>
      </c>
      <c r="P144" s="2"/>
      <c r="Q144" s="2" t="s">
        <v>710</v>
      </c>
      <c r="R144" s="2"/>
      <c r="S144" s="2"/>
    </row>
    <row r="145" spans="1:19" x14ac:dyDescent="0.2">
      <c r="A145">
        <v>135</v>
      </c>
      <c r="B145">
        <v>135</v>
      </c>
      <c r="C145" t="s">
        <v>235</v>
      </c>
      <c r="D145" t="s">
        <v>236</v>
      </c>
      <c r="E145" t="s">
        <v>236</v>
      </c>
      <c r="F145" cm="1">
        <f t="array" ref="F145">_xlfn.XLOOKUP(_xlfn.XLOOKUP(tblTags[[#This Row],[Tag]],db_drift!$B$2:$B$259,db_drift!$D$2:$D$259),tblInputTypes[[#All],[InputTypeName]],tblInputTypes[[#All],[InputTypeID]],"")</f>
        <v>2</v>
      </c>
      <c r="G145">
        <v>9</v>
      </c>
      <c r="I145" t="str">
        <f>_xlfn.XLOOKUP(_xlfn.XLOOKUP(tblTags[[#This Row],[Tag]],db_drift!$B$2:$B$259,db_drift!$A$2:$A$259),tblDepartmentHeadings[DepartmentHeading],tblDepartmentHeadings[DepartmentHeadingID],"")</f>
        <v/>
      </c>
      <c r="J145">
        <v>9</v>
      </c>
      <c r="K145" t="str">
        <f>_xlfn.XLOOKUP(_xlfn.XLOOKUP(tblTags[[#This Row],[Tag]],db_drift!$B$2:$B$259,db_drift!$E$2:$E$259),tblFuelTypes[FuelType],tblFuelTypes[FuelTypeID],"")</f>
        <v/>
      </c>
      <c r="L145" t="str">
        <f>_xlfn.XLOOKUP(_xlfn.XLOOKUP(tblTags[[#This Row],[Tag]],db_drift!$B$2:$B$259,db_drift!$F$2:$F$259),tblFuelAllocations[FuelAllocation],tblFuelAllocations[FuelAllocationID],"")</f>
        <v/>
      </c>
      <c r="M145" t="str">
        <f>_xlfn.XLOOKUP(tblTags[[#This Row],[Tag]],tblHelpCalc1[Tag],tblHelpCalc1[Calc1ID],"")</f>
        <v/>
      </c>
      <c r="N145" t="str">
        <f>_xlfn.XLOOKUP(tblTags[[#This Row],[Tag]],tblHelpCalc2[Tag],tblHelpCalc2[Calc2ID],"")</f>
        <v/>
      </c>
      <c r="O145" s="2" t="str">
        <f>_xlfn.XLOOKUP(_xlfn.XLOOKUP(tblTags[[#This Row],[Tag]],tblDbDrift[Tag],tblDbDrift[Hide Tags]),tblHideTags[HideTag],tblHideTags[ID],"")</f>
        <v/>
      </c>
      <c r="P145" s="2"/>
      <c r="Q145" s="2" t="s">
        <v>711</v>
      </c>
      <c r="R145" s="2"/>
      <c r="S145" s="2"/>
    </row>
    <row r="146" spans="1:19" x14ac:dyDescent="0.2">
      <c r="A146">
        <v>136</v>
      </c>
      <c r="B146">
        <v>136</v>
      </c>
      <c r="C146" t="s">
        <v>237</v>
      </c>
      <c r="D146" t="s">
        <v>238</v>
      </c>
      <c r="E146" t="s">
        <v>238</v>
      </c>
      <c r="F146" cm="1">
        <f t="array" ref="F146">_xlfn.XLOOKUP(_xlfn.XLOOKUP(tblTags[[#This Row],[Tag]],db_drift!$B$2:$B$259,db_drift!$D$2:$D$259),tblInputTypes[[#All],[InputTypeName]],tblInputTypes[[#All],[InputTypeID]],"")</f>
        <v>2</v>
      </c>
      <c r="G146">
        <v>9</v>
      </c>
      <c r="I146" t="str">
        <f>_xlfn.XLOOKUP(_xlfn.XLOOKUP(tblTags[[#This Row],[Tag]],db_drift!$B$2:$B$259,db_drift!$A$2:$A$259),tblDepartmentHeadings[DepartmentHeading],tblDepartmentHeadings[DepartmentHeadingID],"")</f>
        <v/>
      </c>
      <c r="J146">
        <v>9</v>
      </c>
      <c r="K146" t="str">
        <f>_xlfn.XLOOKUP(_xlfn.XLOOKUP(tblTags[[#This Row],[Tag]],db_drift!$B$2:$B$259,db_drift!$E$2:$E$259),tblFuelTypes[FuelType],tblFuelTypes[FuelTypeID],"")</f>
        <v/>
      </c>
      <c r="L146" t="str">
        <f>_xlfn.XLOOKUP(_xlfn.XLOOKUP(tblTags[[#This Row],[Tag]],db_drift!$B$2:$B$259,db_drift!$F$2:$F$259),tblFuelAllocations[FuelAllocation],tblFuelAllocations[FuelAllocationID],"")</f>
        <v/>
      </c>
      <c r="M146" t="str">
        <f>_xlfn.XLOOKUP(tblTags[[#This Row],[Tag]],tblHelpCalc1[Tag],tblHelpCalc1[Calc1ID],"")</f>
        <v/>
      </c>
      <c r="N146" t="str">
        <f>_xlfn.XLOOKUP(tblTags[[#This Row],[Tag]],tblHelpCalc2[Tag],tblHelpCalc2[Calc2ID],"")</f>
        <v/>
      </c>
      <c r="O146" s="2" t="str">
        <f>_xlfn.XLOOKUP(_xlfn.XLOOKUP(tblTags[[#This Row],[Tag]],tblDbDrift[Tag],tblDbDrift[Hide Tags]),tblHideTags[HideTag],tblHideTags[ID],"")</f>
        <v/>
      </c>
      <c r="P146" s="2"/>
      <c r="Q146" s="2" t="s">
        <v>712</v>
      </c>
      <c r="R146" s="2"/>
      <c r="S146" s="2"/>
    </row>
    <row r="147" spans="1:19" x14ac:dyDescent="0.2">
      <c r="A147">
        <v>137</v>
      </c>
      <c r="B147">
        <v>137</v>
      </c>
      <c r="C147" t="s">
        <v>239</v>
      </c>
      <c r="D147" t="s">
        <v>240</v>
      </c>
      <c r="E147" t="s">
        <v>240</v>
      </c>
      <c r="F147" cm="1">
        <f t="array" ref="F147">_xlfn.XLOOKUP(_xlfn.XLOOKUP(tblTags[[#This Row],[Tag]],db_drift!$B$2:$B$259,db_drift!$D$2:$D$259),tblInputTypes[[#All],[InputTypeName]],tblInputTypes[[#All],[InputTypeID]],"")</f>
        <v>2</v>
      </c>
      <c r="G147">
        <v>9</v>
      </c>
      <c r="I147" t="str">
        <f>_xlfn.XLOOKUP(_xlfn.XLOOKUP(tblTags[[#This Row],[Tag]],db_drift!$B$2:$B$259,db_drift!$A$2:$A$259),tblDepartmentHeadings[DepartmentHeading],tblDepartmentHeadings[DepartmentHeadingID],"")</f>
        <v/>
      </c>
      <c r="J147">
        <v>9</v>
      </c>
      <c r="K147" t="str">
        <f>_xlfn.XLOOKUP(_xlfn.XLOOKUP(tblTags[[#This Row],[Tag]],db_drift!$B$2:$B$259,db_drift!$E$2:$E$259),tblFuelTypes[FuelType],tblFuelTypes[FuelTypeID],"")</f>
        <v/>
      </c>
      <c r="L147" t="str">
        <f>_xlfn.XLOOKUP(_xlfn.XLOOKUP(tblTags[[#This Row],[Tag]],db_drift!$B$2:$B$259,db_drift!$F$2:$F$259),tblFuelAllocations[FuelAllocation],tblFuelAllocations[FuelAllocationID],"")</f>
        <v/>
      </c>
      <c r="M147" t="str">
        <f>_xlfn.XLOOKUP(tblTags[[#This Row],[Tag]],tblHelpCalc1[Tag],tblHelpCalc1[Calc1ID],"")</f>
        <v/>
      </c>
      <c r="N147" t="str">
        <f>_xlfn.XLOOKUP(tblTags[[#This Row],[Tag]],tblHelpCalc2[Tag],tblHelpCalc2[Calc2ID],"")</f>
        <v/>
      </c>
      <c r="O147" s="2" t="str">
        <f>_xlfn.XLOOKUP(_xlfn.XLOOKUP(tblTags[[#This Row],[Tag]],tblDbDrift[Tag],tblDbDrift[Hide Tags]),tblHideTags[HideTag],tblHideTags[ID],"")</f>
        <v/>
      </c>
      <c r="P147" s="2"/>
      <c r="Q147" s="2" t="s">
        <v>713</v>
      </c>
      <c r="R147" s="2"/>
      <c r="S147" s="2"/>
    </row>
    <row r="148" spans="1:19" x14ac:dyDescent="0.2">
      <c r="A148">
        <v>138</v>
      </c>
      <c r="B148">
        <v>138</v>
      </c>
      <c r="C148" t="s">
        <v>241</v>
      </c>
      <c r="D148" t="s">
        <v>242</v>
      </c>
      <c r="E148" t="s">
        <v>242</v>
      </c>
      <c r="F148" cm="1">
        <f t="array" ref="F148">_xlfn.XLOOKUP(_xlfn.XLOOKUP(tblTags[[#This Row],[Tag]],db_drift!$B$2:$B$259,db_drift!$D$2:$D$259),tblInputTypes[[#All],[InputTypeName]],tblInputTypes[[#All],[InputTypeID]],"")</f>
        <v>2</v>
      </c>
      <c r="G148">
        <v>9</v>
      </c>
      <c r="I148" t="str">
        <f>_xlfn.XLOOKUP(_xlfn.XLOOKUP(tblTags[[#This Row],[Tag]],db_drift!$B$2:$B$259,db_drift!$A$2:$A$259),tblDepartmentHeadings[DepartmentHeading],tblDepartmentHeadings[DepartmentHeadingID],"")</f>
        <v/>
      </c>
      <c r="J148">
        <v>9</v>
      </c>
      <c r="K148" t="str">
        <f>_xlfn.XLOOKUP(_xlfn.XLOOKUP(tblTags[[#This Row],[Tag]],db_drift!$B$2:$B$259,db_drift!$E$2:$E$259),tblFuelTypes[FuelType],tblFuelTypes[FuelTypeID],"")</f>
        <v/>
      </c>
      <c r="L148" t="str">
        <f>_xlfn.XLOOKUP(_xlfn.XLOOKUP(tblTags[[#This Row],[Tag]],db_drift!$B$2:$B$259,db_drift!$F$2:$F$259),tblFuelAllocations[FuelAllocation],tblFuelAllocations[FuelAllocationID],"")</f>
        <v/>
      </c>
      <c r="M148" t="str">
        <f>_xlfn.XLOOKUP(tblTags[[#This Row],[Tag]],tblHelpCalc1[Tag],tblHelpCalc1[Calc1ID],"")</f>
        <v/>
      </c>
      <c r="N148" t="str">
        <f>_xlfn.XLOOKUP(tblTags[[#This Row],[Tag]],tblHelpCalc2[Tag],tblHelpCalc2[Calc2ID],"")</f>
        <v/>
      </c>
      <c r="O148" s="2" t="str">
        <f>_xlfn.XLOOKUP(_xlfn.XLOOKUP(tblTags[[#This Row],[Tag]],tblDbDrift[Tag],tblDbDrift[Hide Tags]),tblHideTags[HideTag],tblHideTags[ID],"")</f>
        <v/>
      </c>
      <c r="P148" s="2"/>
      <c r="Q148" s="2" t="s">
        <v>714</v>
      </c>
      <c r="R148" s="2"/>
      <c r="S148" s="2"/>
    </row>
    <row r="149" spans="1:19" x14ac:dyDescent="0.2">
      <c r="A149">
        <v>139</v>
      </c>
      <c r="B149">
        <v>139</v>
      </c>
      <c r="C149" t="s">
        <v>8</v>
      </c>
      <c r="F149" t="str" cm="1">
        <f t="array" ref="F149">_xlfn.XLOOKUP(_xlfn.XLOOKUP(tblTags[[#This Row],[Tag]],db_drift!$B$2:$B$259,db_drift!$D$2:$D$259),tblInputTypes[[#All],[InputTypeName]],tblInputTypes[[#All],[InputTypeID]],"")</f>
        <v/>
      </c>
      <c r="G149">
        <v>7</v>
      </c>
      <c r="I149" t="str">
        <f>_xlfn.XLOOKUP(_xlfn.XLOOKUP(tblTags[[#This Row],[Tag]],db_drift!$B$2:$B$259,db_drift!$A$2:$A$259),tblDepartmentHeadings[DepartmentHeading],tblDepartmentHeadings[DepartmentHeadingID],"")</f>
        <v/>
      </c>
      <c r="K149" t="str">
        <f>_xlfn.XLOOKUP(_xlfn.XLOOKUP(tblTags[[#This Row],[Tag]],db_drift!$B$2:$B$259,db_drift!$E$2:$E$259),tblFuelTypes[FuelType],tblFuelTypes[FuelTypeID],"")</f>
        <v/>
      </c>
      <c r="L149" t="str">
        <f>_xlfn.XLOOKUP(_xlfn.XLOOKUP(tblTags[[#This Row],[Tag]],db_drift!$B$2:$B$259,db_drift!$F$2:$F$259),tblFuelAllocations[FuelAllocation],tblFuelAllocations[FuelAllocationID],"")</f>
        <v/>
      </c>
      <c r="M149" t="str">
        <f>_xlfn.XLOOKUP(tblTags[[#This Row],[Tag]],tblHelpCalc1[Tag],tblHelpCalc1[Calc1ID],"")</f>
        <v/>
      </c>
      <c r="N149" t="str">
        <f>_xlfn.XLOOKUP(tblTags[[#This Row],[Tag]],tblHelpCalc2[Tag],tblHelpCalc2[Calc2ID],"")</f>
        <v/>
      </c>
      <c r="O149" s="2" t="str">
        <f>_xlfn.XLOOKUP(_xlfn.XLOOKUP(tblTags[[#This Row],[Tag]],tblDbDrift[Tag],tblDbDrift[Hide Tags]),tblHideTags[HideTag],tblHideTags[ID],"")</f>
        <v/>
      </c>
      <c r="P149" s="2"/>
      <c r="Q149" s="2" t="s">
        <v>715</v>
      </c>
      <c r="R149" s="2"/>
      <c r="S149" s="2"/>
    </row>
    <row r="150" spans="1:19" x14ac:dyDescent="0.2">
      <c r="A150">
        <v>140</v>
      </c>
      <c r="B150">
        <v>140</v>
      </c>
      <c r="C150" t="s">
        <v>243</v>
      </c>
      <c r="D150" t="s">
        <v>109</v>
      </c>
      <c r="E150" t="s">
        <v>109</v>
      </c>
      <c r="F150" cm="1">
        <f t="array" ref="F150">_xlfn.XLOOKUP(_xlfn.XLOOKUP(tblTags[[#This Row],[Tag]],db_drift!$B$2:$B$259,db_drift!$D$2:$D$259),tblInputTypes[[#All],[InputTypeName]],tblInputTypes[[#All],[InputTypeID]],"")</f>
        <v>1</v>
      </c>
      <c r="G150">
        <v>7</v>
      </c>
      <c r="I150">
        <f>_xlfn.XLOOKUP(_xlfn.XLOOKUP(tblTags[[#This Row],[Tag]],db_drift!$B$2:$B$259,db_drift!$A$2:$A$259),tblDepartmentHeadings[DepartmentHeading],tblDepartmentHeadings[DepartmentHeadingID],"")</f>
        <v>11</v>
      </c>
      <c r="J150">
        <v>7</v>
      </c>
      <c r="K150">
        <f>_xlfn.XLOOKUP(_xlfn.XLOOKUP(tblTags[[#This Row],[Tag]],db_drift!$B$2:$B$259,db_drift!$E$2:$E$259),tblFuelTypes[FuelType],tblFuelTypes[FuelTypeID],"")</f>
        <v>2</v>
      </c>
      <c r="L150">
        <f>_xlfn.XLOOKUP(_xlfn.XLOOKUP(tblTags[[#This Row],[Tag]],db_drift!$B$2:$B$259,db_drift!$F$2:$F$259),tblFuelAllocations[FuelAllocation],tblFuelAllocations[FuelAllocationID],"")</f>
        <v>1</v>
      </c>
      <c r="M150">
        <f>_xlfn.XLOOKUP(tblTags[[#This Row],[Tag]],tblHelpCalc1[Tag],tblHelpCalc1[Calc1ID],"")</f>
        <v>1</v>
      </c>
      <c r="N150" t="str">
        <f>_xlfn.XLOOKUP(tblTags[[#This Row],[Tag]],tblHelpCalc2[Tag],tblHelpCalc2[Calc2ID],"")</f>
        <v/>
      </c>
      <c r="O150" s="2">
        <f>_xlfn.XLOOKUP(_xlfn.XLOOKUP(tblTags[[#This Row],[Tag]],tblDbDrift[Tag],tblDbDrift[Hide Tags]),tblHideTags[HideTag],tblHideTags[ID],"")</f>
        <v>1</v>
      </c>
      <c r="P150" s="2"/>
      <c r="Q150" s="2" t="s">
        <v>716</v>
      </c>
      <c r="R150" s="2"/>
      <c r="S150" s="2"/>
    </row>
    <row r="151" spans="1:19" x14ac:dyDescent="0.2">
      <c r="A151">
        <v>141</v>
      </c>
      <c r="B151">
        <v>141</v>
      </c>
      <c r="C151" t="s">
        <v>244</v>
      </c>
      <c r="D151" t="s">
        <v>111</v>
      </c>
      <c r="E151" t="s">
        <v>111</v>
      </c>
      <c r="F151" cm="1">
        <f t="array" ref="F151">_xlfn.XLOOKUP(_xlfn.XLOOKUP(tblTags[[#This Row],[Tag]],db_drift!$B$2:$B$259,db_drift!$D$2:$D$259),tblInputTypes[[#All],[InputTypeName]],tblInputTypes[[#All],[InputTypeID]],"")</f>
        <v>1</v>
      </c>
      <c r="G151">
        <v>7</v>
      </c>
      <c r="I151" t="str">
        <f>_xlfn.XLOOKUP(_xlfn.XLOOKUP(tblTags[[#This Row],[Tag]],db_drift!$B$2:$B$259,db_drift!$A$2:$A$259),tblDepartmentHeadings[DepartmentHeading],tblDepartmentHeadings[DepartmentHeadingID],"")</f>
        <v/>
      </c>
      <c r="J151">
        <v>7</v>
      </c>
      <c r="K151">
        <f>_xlfn.XLOOKUP(_xlfn.XLOOKUP(tblTags[[#This Row],[Tag]],db_drift!$B$2:$B$259,db_drift!$E$2:$E$259),tblFuelTypes[FuelType],tblFuelTypes[FuelTypeID],"")</f>
        <v>1</v>
      </c>
      <c r="L151">
        <f>_xlfn.XLOOKUP(_xlfn.XLOOKUP(tblTags[[#This Row],[Tag]],db_drift!$B$2:$B$259,db_drift!$F$2:$F$259),tblFuelAllocations[FuelAllocation],tblFuelAllocations[FuelAllocationID],"")</f>
        <v>2</v>
      </c>
      <c r="M151">
        <f>_xlfn.XLOOKUP(tblTags[[#This Row],[Tag]],tblHelpCalc1[Tag],tblHelpCalc1[Calc1ID],"")</f>
        <v>2</v>
      </c>
      <c r="N151" t="str">
        <f>_xlfn.XLOOKUP(tblTags[[#This Row],[Tag]],tblHelpCalc2[Tag],tblHelpCalc2[Calc2ID],"")</f>
        <v/>
      </c>
      <c r="O151" s="2">
        <f>_xlfn.XLOOKUP(_xlfn.XLOOKUP(tblTags[[#This Row],[Tag]],tblDbDrift[Tag],tblDbDrift[Hide Tags]),tblHideTags[HideTag],tblHideTags[ID],"")</f>
        <v>1</v>
      </c>
      <c r="P151" s="2"/>
      <c r="Q151" s="2" t="s">
        <v>717</v>
      </c>
      <c r="R151" s="2"/>
      <c r="S151" s="2"/>
    </row>
    <row r="152" spans="1:19" x14ac:dyDescent="0.2">
      <c r="A152">
        <v>142</v>
      </c>
      <c r="B152">
        <v>142</v>
      </c>
      <c r="C152" t="s">
        <v>245</v>
      </c>
      <c r="D152" t="s">
        <v>246</v>
      </c>
      <c r="E152" t="s">
        <v>246</v>
      </c>
      <c r="F152" cm="1">
        <f t="array" ref="F152">_xlfn.XLOOKUP(_xlfn.XLOOKUP(tblTags[[#This Row],[Tag]],db_drift!$B$2:$B$259,db_drift!$D$2:$D$259),tblInputTypes[[#All],[InputTypeName]],tblInputTypes[[#All],[InputTypeID]],"")</f>
        <v>1</v>
      </c>
      <c r="G152">
        <v>7</v>
      </c>
      <c r="I152" t="str">
        <f>_xlfn.XLOOKUP(_xlfn.XLOOKUP(tblTags[[#This Row],[Tag]],db_drift!$B$2:$B$259,db_drift!$A$2:$A$259),tblDepartmentHeadings[DepartmentHeading],tblDepartmentHeadings[DepartmentHeadingID],"")</f>
        <v/>
      </c>
      <c r="J152">
        <v>7</v>
      </c>
      <c r="K152">
        <f>_xlfn.XLOOKUP(_xlfn.XLOOKUP(tblTags[[#This Row],[Tag]],db_drift!$B$2:$B$259,db_drift!$E$2:$E$259),tblFuelTypes[FuelType],tblFuelTypes[FuelTypeID],"")</f>
        <v>1</v>
      </c>
      <c r="L152">
        <f>_xlfn.XLOOKUP(_xlfn.XLOOKUP(tblTags[[#This Row],[Tag]],db_drift!$B$2:$B$259,db_drift!$F$2:$F$259),tblFuelAllocations[FuelAllocation],tblFuelAllocations[FuelAllocationID],"")</f>
        <v>1</v>
      </c>
      <c r="M152">
        <f>_xlfn.XLOOKUP(tblTags[[#This Row],[Tag]],tblHelpCalc1[Tag],tblHelpCalc1[Calc1ID],"")</f>
        <v>3</v>
      </c>
      <c r="N152" t="str">
        <f>_xlfn.XLOOKUP(tblTags[[#This Row],[Tag]],tblHelpCalc2[Tag],tblHelpCalc2[Calc2ID],"")</f>
        <v/>
      </c>
      <c r="O152" s="2">
        <f>_xlfn.XLOOKUP(_xlfn.XLOOKUP(tblTags[[#This Row],[Tag]],tblDbDrift[Tag],tblDbDrift[Hide Tags]),tblHideTags[HideTag],tblHideTags[ID],"")</f>
        <v>1</v>
      </c>
      <c r="P152" s="2"/>
      <c r="Q152" s="2" t="s">
        <v>718</v>
      </c>
      <c r="R152" s="2"/>
      <c r="S152" s="2"/>
    </row>
    <row r="153" spans="1:19" x14ac:dyDescent="0.2">
      <c r="A153">
        <v>143</v>
      </c>
      <c r="B153">
        <v>143</v>
      </c>
      <c r="C153" t="s">
        <v>247</v>
      </c>
      <c r="D153" t="s">
        <v>115</v>
      </c>
      <c r="E153" t="s">
        <v>115</v>
      </c>
      <c r="F153" cm="1">
        <f t="array" ref="F153">_xlfn.XLOOKUP(_xlfn.XLOOKUP(tblTags[[#This Row],[Tag]],db_drift!$B$2:$B$259,db_drift!$D$2:$D$259),tblInputTypes[[#All],[InputTypeName]],tblInputTypes[[#All],[InputTypeID]],"")</f>
        <v>1</v>
      </c>
      <c r="G153">
        <v>7</v>
      </c>
      <c r="I153" t="str">
        <f>_xlfn.XLOOKUP(_xlfn.XLOOKUP(tblTags[[#This Row],[Tag]],db_drift!$B$2:$B$259,db_drift!$A$2:$A$259),tblDepartmentHeadings[DepartmentHeading],tblDepartmentHeadings[DepartmentHeadingID],"")</f>
        <v/>
      </c>
      <c r="J153">
        <v>7</v>
      </c>
      <c r="K153">
        <f>_xlfn.XLOOKUP(_xlfn.XLOOKUP(tblTags[[#This Row],[Tag]],db_drift!$B$2:$B$259,db_drift!$E$2:$E$259),tblFuelTypes[FuelType],tblFuelTypes[FuelTypeID],"")</f>
        <v>2</v>
      </c>
      <c r="L153">
        <f>_xlfn.XLOOKUP(_xlfn.XLOOKUP(tblTags[[#This Row],[Tag]],db_drift!$B$2:$B$259,db_drift!$F$2:$F$259),tblFuelAllocations[FuelAllocation],tblFuelAllocations[FuelAllocationID],"")</f>
        <v>2</v>
      </c>
      <c r="M153">
        <f>_xlfn.XLOOKUP(tblTags[[#This Row],[Tag]],tblHelpCalc1[Tag],tblHelpCalc1[Calc1ID],"")</f>
        <v>4</v>
      </c>
      <c r="N153" t="str">
        <f>_xlfn.XLOOKUP(tblTags[[#This Row],[Tag]],tblHelpCalc2[Tag],tblHelpCalc2[Calc2ID],"")</f>
        <v/>
      </c>
      <c r="O153" s="2">
        <f>_xlfn.XLOOKUP(_xlfn.XLOOKUP(tblTags[[#This Row],[Tag]],tblDbDrift[Tag],tblDbDrift[Hide Tags]),tblHideTags[HideTag],tblHideTags[ID],"")</f>
        <v>1</v>
      </c>
      <c r="P153" s="2"/>
      <c r="Q153" s="2" t="s">
        <v>719</v>
      </c>
      <c r="R153" s="2"/>
      <c r="S153" s="2"/>
    </row>
    <row r="154" spans="1:19" x14ac:dyDescent="0.2">
      <c r="A154">
        <v>144</v>
      </c>
      <c r="B154">
        <v>144</v>
      </c>
      <c r="C154" t="s">
        <v>248</v>
      </c>
      <c r="D154" t="s">
        <v>117</v>
      </c>
      <c r="E154" t="s">
        <v>117</v>
      </c>
      <c r="F154" cm="1">
        <f t="array" ref="F154">_xlfn.XLOOKUP(_xlfn.XLOOKUP(tblTags[[#This Row],[Tag]],db_drift!$B$2:$B$259,db_drift!$D$2:$D$259),tblInputTypes[[#All],[InputTypeName]],tblInputTypes[[#All],[InputTypeID]],"")</f>
        <v>1</v>
      </c>
      <c r="G154">
        <v>7</v>
      </c>
      <c r="I154" t="str">
        <f>_xlfn.XLOOKUP(_xlfn.XLOOKUP(tblTags[[#This Row],[Tag]],db_drift!$B$2:$B$259,db_drift!$A$2:$A$259),tblDepartmentHeadings[DepartmentHeading],tblDepartmentHeadings[DepartmentHeadingID],"")</f>
        <v/>
      </c>
      <c r="J154">
        <v>7</v>
      </c>
      <c r="K154">
        <f>_xlfn.XLOOKUP(_xlfn.XLOOKUP(tblTags[[#This Row],[Tag]],db_drift!$B$2:$B$259,db_drift!$E$2:$E$259),tblFuelTypes[FuelType],tblFuelTypes[FuelTypeID],"")</f>
        <v>2</v>
      </c>
      <c r="L154">
        <f>_xlfn.XLOOKUP(_xlfn.XLOOKUP(tblTags[[#This Row],[Tag]],db_drift!$B$2:$B$259,db_drift!$F$2:$F$259),tblFuelAllocations[FuelAllocation],tblFuelAllocations[FuelAllocationID],"")</f>
        <v>2</v>
      </c>
      <c r="M154">
        <f>_xlfn.XLOOKUP(tblTags[[#This Row],[Tag]],tblHelpCalc1[Tag],tblHelpCalc1[Calc1ID],"")</f>
        <v>5</v>
      </c>
      <c r="N154" t="str">
        <f>_xlfn.XLOOKUP(tblTags[[#This Row],[Tag]],tblHelpCalc2[Tag],tblHelpCalc2[Calc2ID],"")</f>
        <v/>
      </c>
      <c r="O154" s="2">
        <f>_xlfn.XLOOKUP(_xlfn.XLOOKUP(tblTags[[#This Row],[Tag]],tblDbDrift[Tag],tblDbDrift[Hide Tags]),tblHideTags[HideTag],tblHideTags[ID],"")</f>
        <v>1</v>
      </c>
      <c r="P154" s="2"/>
      <c r="Q154" s="2" t="s">
        <v>720</v>
      </c>
      <c r="R154" s="2"/>
      <c r="S154" s="2"/>
    </row>
    <row r="155" spans="1:19" x14ac:dyDescent="0.2">
      <c r="A155">
        <v>145</v>
      </c>
      <c r="B155">
        <v>145</v>
      </c>
      <c r="C155" t="s">
        <v>249</v>
      </c>
      <c r="D155" t="s">
        <v>250</v>
      </c>
      <c r="E155" t="s">
        <v>250</v>
      </c>
      <c r="F155" cm="1">
        <f t="array" ref="F155">_xlfn.XLOOKUP(_xlfn.XLOOKUP(tblTags[[#This Row],[Tag]],db_drift!$B$2:$B$259,db_drift!$D$2:$D$259),tblInputTypes[[#All],[InputTypeName]],tblInputTypes[[#All],[InputTypeID]],"")</f>
        <v>1</v>
      </c>
      <c r="G155">
        <v>7</v>
      </c>
      <c r="I155" t="str">
        <f>_xlfn.XLOOKUP(_xlfn.XLOOKUP(tblTags[[#This Row],[Tag]],db_drift!$B$2:$B$259,db_drift!$A$2:$A$259),tblDepartmentHeadings[DepartmentHeading],tblDepartmentHeadings[DepartmentHeadingID],"")</f>
        <v/>
      </c>
      <c r="J155">
        <v>7</v>
      </c>
      <c r="K155">
        <f>_xlfn.XLOOKUP(_xlfn.XLOOKUP(tblTags[[#This Row],[Tag]],db_drift!$B$2:$B$259,db_drift!$E$2:$E$259),tblFuelTypes[FuelType],tblFuelTypes[FuelTypeID],"")</f>
        <v>2</v>
      </c>
      <c r="L155">
        <f>_xlfn.XLOOKUP(_xlfn.XLOOKUP(tblTags[[#This Row],[Tag]],db_drift!$B$2:$B$259,db_drift!$F$2:$F$259),tblFuelAllocations[FuelAllocation],tblFuelAllocations[FuelAllocationID],"")</f>
        <v>2</v>
      </c>
      <c r="M155">
        <f>_xlfn.XLOOKUP(tblTags[[#This Row],[Tag]],tblHelpCalc1[Tag],tblHelpCalc1[Calc1ID],"")</f>
        <v>6</v>
      </c>
      <c r="N155" t="str">
        <f>_xlfn.XLOOKUP(tblTags[[#This Row],[Tag]],tblHelpCalc2[Tag],tblHelpCalc2[Calc2ID],"")</f>
        <v/>
      </c>
      <c r="O155" s="2">
        <f>_xlfn.XLOOKUP(_xlfn.XLOOKUP(tblTags[[#This Row],[Tag]],tblDbDrift[Tag],tblDbDrift[Hide Tags]),tblHideTags[HideTag],tblHideTags[ID],"")</f>
        <v>1</v>
      </c>
      <c r="P155" s="2"/>
      <c r="Q155" s="2" t="s">
        <v>721</v>
      </c>
      <c r="R155" s="2"/>
      <c r="S155" s="2"/>
    </row>
    <row r="156" spans="1:19" x14ac:dyDescent="0.2">
      <c r="A156">
        <v>146</v>
      </c>
      <c r="B156">
        <v>146</v>
      </c>
      <c r="C156" t="s">
        <v>251</v>
      </c>
      <c r="D156" t="s">
        <v>121</v>
      </c>
      <c r="E156" t="s">
        <v>121</v>
      </c>
      <c r="F156" cm="1">
        <f t="array" ref="F156">_xlfn.XLOOKUP(_xlfn.XLOOKUP(tblTags[[#This Row],[Tag]],db_drift!$B$2:$B$259,db_drift!$D$2:$D$259),tblInputTypes[[#All],[InputTypeName]],tblInputTypes[[#All],[InputTypeID]],"")</f>
        <v>1</v>
      </c>
      <c r="G156">
        <v>7</v>
      </c>
      <c r="I156" t="str">
        <f>_xlfn.XLOOKUP(_xlfn.XLOOKUP(tblTags[[#This Row],[Tag]],db_drift!$B$2:$B$259,db_drift!$A$2:$A$259),tblDepartmentHeadings[DepartmentHeading],tblDepartmentHeadings[DepartmentHeadingID],"")</f>
        <v/>
      </c>
      <c r="J156">
        <v>7</v>
      </c>
      <c r="K156">
        <f>_xlfn.XLOOKUP(_xlfn.XLOOKUP(tblTags[[#This Row],[Tag]],db_drift!$B$2:$B$259,db_drift!$E$2:$E$259),tblFuelTypes[FuelType],tblFuelTypes[FuelTypeID],"")</f>
        <v>2</v>
      </c>
      <c r="L156">
        <f>_xlfn.XLOOKUP(_xlfn.XLOOKUP(tblTags[[#This Row],[Tag]],db_drift!$B$2:$B$259,db_drift!$F$2:$F$259),tblFuelAllocations[FuelAllocation],tblFuelAllocations[FuelAllocationID],"")</f>
        <v>2</v>
      </c>
      <c r="M156">
        <f>_xlfn.XLOOKUP(tblTags[[#This Row],[Tag]],tblHelpCalc1[Tag],tblHelpCalc1[Calc1ID],"")</f>
        <v>7</v>
      </c>
      <c r="N156" t="str">
        <f>_xlfn.XLOOKUP(tblTags[[#This Row],[Tag]],tblHelpCalc2[Tag],tblHelpCalc2[Calc2ID],"")</f>
        <v/>
      </c>
      <c r="O156" s="2">
        <f>_xlfn.XLOOKUP(_xlfn.XLOOKUP(tblTags[[#This Row],[Tag]],tblDbDrift[Tag],tblDbDrift[Hide Tags]),tblHideTags[HideTag],tblHideTags[ID],"")</f>
        <v>1</v>
      </c>
      <c r="P156" s="2"/>
      <c r="Q156" s="2" t="s">
        <v>722</v>
      </c>
      <c r="R156" s="2"/>
      <c r="S156" s="2"/>
    </row>
    <row r="157" spans="1:19" x14ac:dyDescent="0.2">
      <c r="A157">
        <v>147</v>
      </c>
      <c r="B157">
        <v>147</v>
      </c>
      <c r="C157" t="s">
        <v>252</v>
      </c>
      <c r="D157" t="s">
        <v>123</v>
      </c>
      <c r="E157" t="s">
        <v>123</v>
      </c>
      <c r="F157" cm="1">
        <f t="array" ref="F157">_xlfn.XLOOKUP(_xlfn.XLOOKUP(tblTags[[#This Row],[Tag]],db_drift!$B$2:$B$259,db_drift!$D$2:$D$259),tblInputTypes[[#All],[InputTypeName]],tblInputTypes[[#All],[InputTypeID]],"")</f>
        <v>1</v>
      </c>
      <c r="G157">
        <v>7</v>
      </c>
      <c r="I157" t="str">
        <f>_xlfn.XLOOKUP(_xlfn.XLOOKUP(tblTags[[#This Row],[Tag]],db_drift!$B$2:$B$259,db_drift!$A$2:$A$259),tblDepartmentHeadings[DepartmentHeading],tblDepartmentHeadings[DepartmentHeadingID],"")</f>
        <v/>
      </c>
      <c r="J157">
        <v>7</v>
      </c>
      <c r="K157">
        <f>_xlfn.XLOOKUP(_xlfn.XLOOKUP(tblTags[[#This Row],[Tag]],db_drift!$B$2:$B$259,db_drift!$E$2:$E$259),tblFuelTypes[FuelType],tblFuelTypes[FuelTypeID],"")</f>
        <v>2</v>
      </c>
      <c r="L157">
        <f>_xlfn.XLOOKUP(_xlfn.XLOOKUP(tblTags[[#This Row],[Tag]],db_drift!$B$2:$B$259,db_drift!$F$2:$F$259),tblFuelAllocations[FuelAllocation],tblFuelAllocations[FuelAllocationID],"")</f>
        <v>2</v>
      </c>
      <c r="M157">
        <f>_xlfn.XLOOKUP(tblTags[[#This Row],[Tag]],tblHelpCalc1[Tag],tblHelpCalc1[Calc1ID],"")</f>
        <v>8</v>
      </c>
      <c r="N157" t="str">
        <f>_xlfn.XLOOKUP(tblTags[[#This Row],[Tag]],tblHelpCalc2[Tag],tblHelpCalc2[Calc2ID],"")</f>
        <v/>
      </c>
      <c r="O157" s="2">
        <f>_xlfn.XLOOKUP(_xlfn.XLOOKUP(tblTags[[#This Row],[Tag]],tblDbDrift[Tag],tblDbDrift[Hide Tags]),tblHideTags[HideTag],tblHideTags[ID],"")</f>
        <v>1</v>
      </c>
      <c r="P157" s="2"/>
      <c r="Q157" s="2" t="s">
        <v>723</v>
      </c>
      <c r="R157" s="2"/>
      <c r="S157" s="2"/>
    </row>
    <row r="158" spans="1:19" x14ac:dyDescent="0.2">
      <c r="A158">
        <v>148</v>
      </c>
      <c r="B158">
        <v>148</v>
      </c>
      <c r="C158" t="s">
        <v>253</v>
      </c>
      <c r="D158" t="s">
        <v>125</v>
      </c>
      <c r="E158" t="s">
        <v>125</v>
      </c>
      <c r="F158" cm="1">
        <f t="array" ref="F158">_xlfn.XLOOKUP(_xlfn.XLOOKUP(tblTags[[#This Row],[Tag]],db_drift!$B$2:$B$259,db_drift!$D$2:$D$259),tblInputTypes[[#All],[InputTypeName]],tblInputTypes[[#All],[InputTypeID]],"")</f>
        <v>1</v>
      </c>
      <c r="G158">
        <v>7</v>
      </c>
      <c r="I158" t="str">
        <f>_xlfn.XLOOKUP(_xlfn.XLOOKUP(tblTags[[#This Row],[Tag]],db_drift!$B$2:$B$259,db_drift!$A$2:$A$259),tblDepartmentHeadings[DepartmentHeading],tblDepartmentHeadings[DepartmentHeadingID],"")</f>
        <v/>
      </c>
      <c r="J158">
        <v>7</v>
      </c>
      <c r="K158" t="str">
        <f>_xlfn.XLOOKUP(_xlfn.XLOOKUP(tblTags[[#This Row],[Tag]],db_drift!$B$2:$B$259,db_drift!$E$2:$E$259),tblFuelTypes[FuelType],tblFuelTypes[FuelTypeID],"")</f>
        <v/>
      </c>
      <c r="L158">
        <f>_xlfn.XLOOKUP(_xlfn.XLOOKUP(tblTags[[#This Row],[Tag]],db_drift!$B$2:$B$259,db_drift!$F$2:$F$259),tblFuelAllocations[FuelAllocation],tblFuelAllocations[FuelAllocationID],"")</f>
        <v>1</v>
      </c>
      <c r="M158">
        <f>_xlfn.XLOOKUP(tblTags[[#This Row],[Tag]],tblHelpCalc1[Tag],tblHelpCalc1[Calc1ID],"")</f>
        <v>9</v>
      </c>
      <c r="N158" t="str">
        <f>_xlfn.XLOOKUP(tblTags[[#This Row],[Tag]],tblHelpCalc2[Tag],tblHelpCalc2[Calc2ID],"")</f>
        <v/>
      </c>
      <c r="O158" s="2">
        <f>_xlfn.XLOOKUP(_xlfn.XLOOKUP(tblTags[[#This Row],[Tag]],tblDbDrift[Tag],tblDbDrift[Hide Tags]),tblHideTags[HideTag],tblHideTags[ID],"")</f>
        <v>1</v>
      </c>
      <c r="P158" s="2"/>
      <c r="Q158" s="2" t="s">
        <v>724</v>
      </c>
      <c r="R158" s="2"/>
      <c r="S158" s="2"/>
    </row>
    <row r="159" spans="1:19" x14ac:dyDescent="0.2">
      <c r="A159">
        <v>149</v>
      </c>
      <c r="B159">
        <v>149</v>
      </c>
      <c r="C159" t="s">
        <v>254</v>
      </c>
      <c r="D159" t="s">
        <v>255</v>
      </c>
      <c r="E159" t="s">
        <v>255</v>
      </c>
      <c r="F159" cm="1">
        <f t="array" ref="F159">_xlfn.XLOOKUP(_xlfn.XLOOKUP(tblTags[[#This Row],[Tag]],db_drift!$B$2:$B$259,db_drift!$D$2:$D$259),tblInputTypes[[#All],[InputTypeName]],tblInputTypes[[#All],[InputTypeID]],"")</f>
        <v>1</v>
      </c>
      <c r="G159">
        <v>7</v>
      </c>
      <c r="I159" t="str">
        <f>_xlfn.XLOOKUP(_xlfn.XLOOKUP(tblTags[[#This Row],[Tag]],db_drift!$B$2:$B$259,db_drift!$A$2:$A$259),tblDepartmentHeadings[DepartmentHeading],tblDepartmentHeadings[DepartmentHeadingID],"")</f>
        <v/>
      </c>
      <c r="J159">
        <v>7</v>
      </c>
      <c r="K159">
        <f>_xlfn.XLOOKUP(_xlfn.XLOOKUP(tblTags[[#This Row],[Tag]],db_drift!$B$2:$B$259,db_drift!$E$2:$E$259),tblFuelTypes[FuelType],tblFuelTypes[FuelTypeID],"")</f>
        <v>2</v>
      </c>
      <c r="L159">
        <f>_xlfn.XLOOKUP(_xlfn.XLOOKUP(tblTags[[#This Row],[Tag]],db_drift!$B$2:$B$259,db_drift!$F$2:$F$259),tblFuelAllocations[FuelAllocation],tblFuelAllocations[FuelAllocationID],"")</f>
        <v>2</v>
      </c>
      <c r="M159">
        <f>_xlfn.XLOOKUP(tblTags[[#This Row],[Tag]],tblHelpCalc1[Tag],tblHelpCalc1[Calc1ID],"")</f>
        <v>10</v>
      </c>
      <c r="N159" t="str">
        <f>_xlfn.XLOOKUP(tblTags[[#This Row],[Tag]],tblHelpCalc2[Tag],tblHelpCalc2[Calc2ID],"")</f>
        <v/>
      </c>
      <c r="O159" s="2">
        <f>_xlfn.XLOOKUP(_xlfn.XLOOKUP(tblTags[[#This Row],[Tag]],tblDbDrift[Tag],tblDbDrift[Hide Tags]),tblHideTags[HideTag],tblHideTags[ID],"")</f>
        <v>1</v>
      </c>
      <c r="P159" s="2"/>
      <c r="Q159" s="2" t="s">
        <v>725</v>
      </c>
      <c r="R159" s="2"/>
      <c r="S159" s="2"/>
    </row>
    <row r="160" spans="1:19" x14ac:dyDescent="0.2">
      <c r="A160">
        <v>150</v>
      </c>
      <c r="B160">
        <v>150</v>
      </c>
      <c r="C160" t="s">
        <v>256</v>
      </c>
      <c r="D160" t="s">
        <v>257</v>
      </c>
      <c r="E160" t="s">
        <v>257</v>
      </c>
      <c r="F160" cm="1">
        <f t="array" ref="F160">_xlfn.XLOOKUP(_xlfn.XLOOKUP(tblTags[[#This Row],[Tag]],db_drift!$B$2:$B$259,db_drift!$D$2:$D$259),tblInputTypes[[#All],[InputTypeName]],tblInputTypes[[#All],[InputTypeID]],"")</f>
        <v>1</v>
      </c>
      <c r="G160">
        <v>7</v>
      </c>
      <c r="I160" t="str">
        <f>_xlfn.XLOOKUP(_xlfn.XLOOKUP(tblTags[[#This Row],[Tag]],db_drift!$B$2:$B$259,db_drift!$A$2:$A$259),tblDepartmentHeadings[DepartmentHeading],tblDepartmentHeadings[DepartmentHeadingID],"")</f>
        <v/>
      </c>
      <c r="J160">
        <v>7</v>
      </c>
      <c r="K160">
        <f>_xlfn.XLOOKUP(_xlfn.XLOOKUP(tblTags[[#This Row],[Tag]],db_drift!$B$2:$B$259,db_drift!$E$2:$E$259),tblFuelTypes[FuelType],tblFuelTypes[FuelTypeID],"")</f>
        <v>2</v>
      </c>
      <c r="L160">
        <f>_xlfn.XLOOKUP(_xlfn.XLOOKUP(tblTags[[#This Row],[Tag]],db_drift!$B$2:$B$259,db_drift!$F$2:$F$259),tblFuelAllocations[FuelAllocation],tblFuelAllocations[FuelAllocationID],"")</f>
        <v>1</v>
      </c>
      <c r="M160">
        <f>_xlfn.XLOOKUP(tblTags[[#This Row],[Tag]],tblHelpCalc1[Tag],tblHelpCalc1[Calc1ID],"")</f>
        <v>11</v>
      </c>
      <c r="N160" t="str">
        <f>_xlfn.XLOOKUP(tblTags[[#This Row],[Tag]],tblHelpCalc2[Tag],tblHelpCalc2[Calc2ID],"")</f>
        <v/>
      </c>
      <c r="O160" s="2">
        <f>_xlfn.XLOOKUP(_xlfn.XLOOKUP(tblTags[[#This Row],[Tag]],tblDbDrift[Tag],tblDbDrift[Hide Tags]),tblHideTags[HideTag],tblHideTags[ID],"")</f>
        <v>1</v>
      </c>
      <c r="P160" s="2"/>
      <c r="Q160" s="2" t="s">
        <v>726</v>
      </c>
      <c r="R160" s="2"/>
      <c r="S160" s="2"/>
    </row>
    <row r="161" spans="1:19" x14ac:dyDescent="0.2">
      <c r="A161">
        <v>151</v>
      </c>
      <c r="B161">
        <v>151</v>
      </c>
      <c r="C161" t="s">
        <v>394</v>
      </c>
      <c r="F161" t="str" cm="1">
        <f t="array" ref="F161">_xlfn.XLOOKUP(_xlfn.XLOOKUP(tblTags[[#This Row],[Tag]],db_drift!$B$2:$B$259,db_drift!$D$2:$D$259),tblInputTypes[[#All],[InputTypeName]],tblInputTypes[[#All],[InputTypeID]],"")</f>
        <v/>
      </c>
      <c r="G161">
        <v>6</v>
      </c>
      <c r="I161" t="str">
        <f>_xlfn.XLOOKUP(_xlfn.XLOOKUP(tblTags[[#This Row],[Tag]],db_drift!$B$2:$B$259,db_drift!$A$2:$A$259),tblDepartmentHeadings[DepartmentHeading],tblDepartmentHeadings[DepartmentHeadingID],"")</f>
        <v/>
      </c>
      <c r="K161" t="str">
        <f>_xlfn.XLOOKUP(_xlfn.XLOOKUP(tblTags[[#This Row],[Tag]],db_drift!$B$2:$B$259,db_drift!$E$2:$E$259),tblFuelTypes[FuelType],tblFuelTypes[FuelTypeID],"")</f>
        <v/>
      </c>
      <c r="L161" t="str">
        <f>_xlfn.XLOOKUP(_xlfn.XLOOKUP(tblTags[[#This Row],[Tag]],db_drift!$B$2:$B$259,db_drift!$F$2:$F$259),tblFuelAllocations[FuelAllocation],tblFuelAllocations[FuelAllocationID],"")</f>
        <v/>
      </c>
      <c r="M161" t="str">
        <f>_xlfn.XLOOKUP(tblTags[[#This Row],[Tag]],tblHelpCalc1[Tag],tblHelpCalc1[Calc1ID],"")</f>
        <v/>
      </c>
      <c r="N161" t="str">
        <f>_xlfn.XLOOKUP(tblTags[[#This Row],[Tag]],tblHelpCalc2[Tag],tblHelpCalc2[Calc2ID],"")</f>
        <v/>
      </c>
      <c r="O161" s="2">
        <f>_xlfn.XLOOKUP(_xlfn.XLOOKUP(tblTags[[#This Row],[Tag]],tblDbDrift[Tag],tblDbDrift[Hide Tags]),tblHideTags[HideTag],tblHideTags[ID],"")</f>
        <v>1</v>
      </c>
      <c r="P161" s="2"/>
      <c r="Q161" s="2" t="s">
        <v>727</v>
      </c>
      <c r="R161" s="2"/>
      <c r="S161" s="2"/>
    </row>
    <row r="162" spans="1:19" x14ac:dyDescent="0.2">
      <c r="A162">
        <v>152</v>
      </c>
      <c r="B162">
        <v>152</v>
      </c>
      <c r="C162" t="s">
        <v>395</v>
      </c>
      <c r="D162" t="s">
        <v>109</v>
      </c>
      <c r="E162" t="s">
        <v>109</v>
      </c>
      <c r="F162" cm="1">
        <f t="array" ref="F162">_xlfn.XLOOKUP(_xlfn.XLOOKUP(tblTags[[#This Row],[Tag]],db_drift!$B$2:$B$259,db_drift!$D$2:$D$259),tblInputTypes[[#All],[InputTypeName]],tblInputTypes[[#All],[InputTypeID]],"")</f>
        <v>1</v>
      </c>
      <c r="G162">
        <v>6</v>
      </c>
      <c r="I162">
        <f>_xlfn.XLOOKUP(_xlfn.XLOOKUP(tblTags[[#This Row],[Tag]],db_drift!$B$2:$B$259,db_drift!$A$2:$A$259),tblDepartmentHeadings[DepartmentHeading],tblDepartmentHeadings[DepartmentHeadingID],"")</f>
        <v>12</v>
      </c>
      <c r="J162">
        <v>2</v>
      </c>
      <c r="K162">
        <f>_xlfn.XLOOKUP(_xlfn.XLOOKUP(tblTags[[#This Row],[Tag]],db_drift!$B$2:$B$259,db_drift!$E$2:$E$259),tblFuelTypes[FuelType],tblFuelTypes[FuelTypeID],"")</f>
        <v>2</v>
      </c>
      <c r="L162">
        <f>_xlfn.XLOOKUP(_xlfn.XLOOKUP(tblTags[[#This Row],[Tag]],db_drift!$B$2:$B$259,db_drift!$F$2:$F$259),tblFuelAllocations[FuelAllocation],tblFuelAllocations[FuelAllocationID],"")</f>
        <v>1</v>
      </c>
      <c r="M162">
        <f>_xlfn.XLOOKUP(tblTags[[#This Row],[Tag]],tblHelpCalc1[Tag],tblHelpCalc1[Calc1ID],"")</f>
        <v>12</v>
      </c>
      <c r="N162">
        <f>_xlfn.XLOOKUP(tblTags[[#This Row],[Tag]],tblHelpCalc2[Tag],tblHelpCalc2[Calc2ID],"")</f>
        <v>31</v>
      </c>
      <c r="O162" s="2">
        <f>_xlfn.XLOOKUP(_xlfn.XLOOKUP(tblTags[[#This Row],[Tag]],tblDbDrift[Tag],tblDbDrift[Hide Tags]),tblHideTags[HideTag],tblHideTags[ID],"")</f>
        <v>1</v>
      </c>
      <c r="P162" s="2"/>
      <c r="Q162" s="2" t="s">
        <v>728</v>
      </c>
      <c r="R162" s="2"/>
      <c r="S162" s="2"/>
    </row>
    <row r="163" spans="1:19" x14ac:dyDescent="0.2">
      <c r="A163">
        <v>153</v>
      </c>
      <c r="B163">
        <v>153</v>
      </c>
      <c r="C163" t="s">
        <v>396</v>
      </c>
      <c r="D163" t="s">
        <v>111</v>
      </c>
      <c r="E163" t="s">
        <v>111</v>
      </c>
      <c r="F163" cm="1">
        <f t="array" ref="F163">_xlfn.XLOOKUP(_xlfn.XLOOKUP(tblTags[[#This Row],[Tag]],db_drift!$B$2:$B$259,db_drift!$D$2:$D$259),tblInputTypes[[#All],[InputTypeName]],tblInputTypes[[#All],[InputTypeID]],"")</f>
        <v>1</v>
      </c>
      <c r="G163">
        <v>6</v>
      </c>
      <c r="I163" t="str">
        <f>_xlfn.XLOOKUP(_xlfn.XLOOKUP(tblTags[[#This Row],[Tag]],db_drift!$B$2:$B$259,db_drift!$A$2:$A$259),tblDepartmentHeadings[DepartmentHeading],tblDepartmentHeadings[DepartmentHeadingID],"")</f>
        <v/>
      </c>
      <c r="J163">
        <v>2</v>
      </c>
      <c r="K163">
        <f>_xlfn.XLOOKUP(_xlfn.XLOOKUP(tblTags[[#This Row],[Tag]],db_drift!$B$2:$B$259,db_drift!$E$2:$E$259),tblFuelTypes[FuelType],tblFuelTypes[FuelTypeID],"")</f>
        <v>1</v>
      </c>
      <c r="L163">
        <f>_xlfn.XLOOKUP(_xlfn.XLOOKUP(tblTags[[#This Row],[Tag]],db_drift!$B$2:$B$259,db_drift!$F$2:$F$259),tblFuelAllocations[FuelAllocation],tblFuelAllocations[FuelAllocationID],"")</f>
        <v>2</v>
      </c>
      <c r="M163">
        <f>_xlfn.XLOOKUP(tblTags[[#This Row],[Tag]],tblHelpCalc1[Tag],tblHelpCalc1[Calc1ID],"")</f>
        <v>13</v>
      </c>
      <c r="N163">
        <f>_xlfn.XLOOKUP(tblTags[[#This Row],[Tag]],tblHelpCalc2[Tag],tblHelpCalc2[Calc2ID],"")</f>
        <v>32</v>
      </c>
      <c r="O163" s="2">
        <f>_xlfn.XLOOKUP(_xlfn.XLOOKUP(tblTags[[#This Row],[Tag]],tblDbDrift[Tag],tblDbDrift[Hide Tags]),tblHideTags[HideTag],tblHideTags[ID],"")</f>
        <v>1</v>
      </c>
      <c r="P163" s="2"/>
      <c r="Q163" s="2" t="s">
        <v>729</v>
      </c>
      <c r="R163" s="2"/>
      <c r="S163" s="2"/>
    </row>
    <row r="164" spans="1:19" x14ac:dyDescent="0.2">
      <c r="A164">
        <v>154</v>
      </c>
      <c r="B164">
        <v>154</v>
      </c>
      <c r="C164" t="s">
        <v>397</v>
      </c>
      <c r="D164" t="s">
        <v>246</v>
      </c>
      <c r="E164" t="s">
        <v>246</v>
      </c>
      <c r="F164" cm="1">
        <f t="array" ref="F164">_xlfn.XLOOKUP(_xlfn.XLOOKUP(tblTags[[#This Row],[Tag]],db_drift!$B$2:$B$259,db_drift!$D$2:$D$259),tblInputTypes[[#All],[InputTypeName]],tblInputTypes[[#All],[InputTypeID]],"")</f>
        <v>1</v>
      </c>
      <c r="G164">
        <v>6</v>
      </c>
      <c r="I164" t="str">
        <f>_xlfn.XLOOKUP(_xlfn.XLOOKUP(tblTags[[#This Row],[Tag]],db_drift!$B$2:$B$259,db_drift!$A$2:$A$259),tblDepartmentHeadings[DepartmentHeading],tblDepartmentHeadings[DepartmentHeadingID],"")</f>
        <v/>
      </c>
      <c r="J164">
        <v>1</v>
      </c>
      <c r="K164">
        <f>_xlfn.XLOOKUP(_xlfn.XLOOKUP(tblTags[[#This Row],[Tag]],db_drift!$B$2:$B$259,db_drift!$E$2:$E$259),tblFuelTypes[FuelType],tblFuelTypes[FuelTypeID],"")</f>
        <v>1</v>
      </c>
      <c r="L164">
        <f>_xlfn.XLOOKUP(_xlfn.XLOOKUP(tblTags[[#This Row],[Tag]],db_drift!$B$2:$B$259,db_drift!$F$2:$F$259),tblFuelAllocations[FuelAllocation],tblFuelAllocations[FuelAllocationID],"")</f>
        <v>1</v>
      </c>
      <c r="M164">
        <f>_xlfn.XLOOKUP(tblTags[[#This Row],[Tag]],tblHelpCalc1[Tag],tblHelpCalc1[Calc1ID],"")</f>
        <v>14</v>
      </c>
      <c r="N164">
        <f>_xlfn.XLOOKUP(tblTags[[#This Row],[Tag]],tblHelpCalc2[Tag],tblHelpCalc2[Calc2ID],"")</f>
        <v>33</v>
      </c>
      <c r="O164" s="2">
        <f>_xlfn.XLOOKUP(_xlfn.XLOOKUP(tblTags[[#This Row],[Tag]],tblDbDrift[Tag],tblDbDrift[Hide Tags]),tblHideTags[HideTag],tblHideTags[ID],"")</f>
        <v>1</v>
      </c>
      <c r="P164" s="2"/>
      <c r="Q164" s="2" t="s">
        <v>730</v>
      </c>
      <c r="R164" s="2"/>
      <c r="S164" s="2"/>
    </row>
    <row r="165" spans="1:19" x14ac:dyDescent="0.2">
      <c r="A165">
        <v>155</v>
      </c>
      <c r="B165">
        <v>155</v>
      </c>
      <c r="C165" t="s">
        <v>398</v>
      </c>
      <c r="D165" t="s">
        <v>115</v>
      </c>
      <c r="E165" t="s">
        <v>115</v>
      </c>
      <c r="F165" cm="1">
        <f t="array" ref="F165">_xlfn.XLOOKUP(_xlfn.XLOOKUP(tblTags[[#This Row],[Tag]],db_drift!$B$2:$B$259,db_drift!$D$2:$D$259),tblInputTypes[[#All],[InputTypeName]],tblInputTypes[[#All],[InputTypeID]],"")</f>
        <v>1</v>
      </c>
      <c r="G165">
        <v>6</v>
      </c>
      <c r="I165" t="str">
        <f>_xlfn.XLOOKUP(_xlfn.XLOOKUP(tblTags[[#This Row],[Tag]],db_drift!$B$2:$B$259,db_drift!$A$2:$A$259),tblDepartmentHeadings[DepartmentHeading],tblDepartmentHeadings[DepartmentHeadingID],"")</f>
        <v/>
      </c>
      <c r="J165">
        <v>1</v>
      </c>
      <c r="K165">
        <f>_xlfn.XLOOKUP(_xlfn.XLOOKUP(tblTags[[#This Row],[Tag]],db_drift!$B$2:$B$259,db_drift!$E$2:$E$259),tblFuelTypes[FuelType],tblFuelTypes[FuelTypeID],"")</f>
        <v>2</v>
      </c>
      <c r="L165">
        <f>_xlfn.XLOOKUP(_xlfn.XLOOKUP(tblTags[[#This Row],[Tag]],db_drift!$B$2:$B$259,db_drift!$F$2:$F$259),tblFuelAllocations[FuelAllocation],tblFuelAllocations[FuelAllocationID],"")</f>
        <v>2</v>
      </c>
      <c r="M165">
        <f>_xlfn.XLOOKUP(tblTags[[#This Row],[Tag]],tblHelpCalc1[Tag],tblHelpCalc1[Calc1ID],"")</f>
        <v>15</v>
      </c>
      <c r="N165">
        <f>_xlfn.XLOOKUP(tblTags[[#This Row],[Tag]],tblHelpCalc2[Tag],tblHelpCalc2[Calc2ID],"")</f>
        <v>34</v>
      </c>
      <c r="O165" s="2">
        <f>_xlfn.XLOOKUP(_xlfn.XLOOKUP(tblTags[[#This Row],[Tag]],tblDbDrift[Tag],tblDbDrift[Hide Tags]),tblHideTags[HideTag],tblHideTags[ID],"")</f>
        <v>1</v>
      </c>
      <c r="P165" s="2"/>
      <c r="Q165" s="2" t="s">
        <v>731</v>
      </c>
      <c r="R165" s="2"/>
      <c r="S165" s="2"/>
    </row>
    <row r="166" spans="1:19" x14ac:dyDescent="0.2">
      <c r="A166">
        <v>156</v>
      </c>
      <c r="B166">
        <v>156</v>
      </c>
      <c r="C166" t="s">
        <v>399</v>
      </c>
      <c r="D166" t="s">
        <v>117</v>
      </c>
      <c r="E166" t="s">
        <v>117</v>
      </c>
      <c r="F166" cm="1">
        <f t="array" ref="F166">_xlfn.XLOOKUP(_xlfn.XLOOKUP(tblTags[[#This Row],[Tag]],db_drift!$B$2:$B$259,db_drift!$D$2:$D$259),tblInputTypes[[#All],[InputTypeName]],tblInputTypes[[#All],[InputTypeID]],"")</f>
        <v>1</v>
      </c>
      <c r="G166">
        <v>6</v>
      </c>
      <c r="I166" t="str">
        <f>_xlfn.XLOOKUP(_xlfn.XLOOKUP(tblTags[[#This Row],[Tag]],db_drift!$B$2:$B$259,db_drift!$A$2:$A$259),tblDepartmentHeadings[DepartmentHeading],tblDepartmentHeadings[DepartmentHeadingID],"")</f>
        <v/>
      </c>
      <c r="J166">
        <v>9</v>
      </c>
      <c r="K166">
        <f>_xlfn.XLOOKUP(_xlfn.XLOOKUP(tblTags[[#This Row],[Tag]],db_drift!$B$2:$B$259,db_drift!$E$2:$E$259),tblFuelTypes[FuelType],tblFuelTypes[FuelTypeID],"")</f>
        <v>2</v>
      </c>
      <c r="L166">
        <f>_xlfn.XLOOKUP(_xlfn.XLOOKUP(tblTags[[#This Row],[Tag]],db_drift!$B$2:$B$259,db_drift!$F$2:$F$259),tblFuelAllocations[FuelAllocation],tblFuelAllocations[FuelAllocationID],"")</f>
        <v>2</v>
      </c>
      <c r="M166">
        <f>_xlfn.XLOOKUP(tblTags[[#This Row],[Tag]],tblHelpCalc1[Tag],tblHelpCalc1[Calc1ID],"")</f>
        <v>16</v>
      </c>
      <c r="N166">
        <f>_xlfn.XLOOKUP(tblTags[[#This Row],[Tag]],tblHelpCalc2[Tag],tblHelpCalc2[Calc2ID],"")</f>
        <v>35</v>
      </c>
      <c r="O166" s="2">
        <f>_xlfn.XLOOKUP(_xlfn.XLOOKUP(tblTags[[#This Row],[Tag]],tblDbDrift[Tag],tblDbDrift[Hide Tags]),tblHideTags[HideTag],tblHideTags[ID],"")</f>
        <v>1</v>
      </c>
      <c r="P166" s="2"/>
      <c r="Q166" s="2" t="s">
        <v>732</v>
      </c>
      <c r="R166" s="2"/>
      <c r="S166" s="2"/>
    </row>
    <row r="167" spans="1:19" x14ac:dyDescent="0.2">
      <c r="A167">
        <v>157</v>
      </c>
      <c r="B167">
        <v>157</v>
      </c>
      <c r="C167" t="s">
        <v>400</v>
      </c>
      <c r="D167" t="s">
        <v>250</v>
      </c>
      <c r="E167" t="s">
        <v>250</v>
      </c>
      <c r="F167" cm="1">
        <f t="array" ref="F167">_xlfn.XLOOKUP(_xlfn.XLOOKUP(tblTags[[#This Row],[Tag]],db_drift!$B$2:$B$259,db_drift!$D$2:$D$259),tblInputTypes[[#All],[InputTypeName]],tblInputTypes[[#All],[InputTypeID]],"")</f>
        <v>1</v>
      </c>
      <c r="G167">
        <v>6</v>
      </c>
      <c r="I167" t="str">
        <f>_xlfn.XLOOKUP(_xlfn.XLOOKUP(tblTags[[#This Row],[Tag]],db_drift!$B$2:$B$259,db_drift!$A$2:$A$259),tblDepartmentHeadings[DepartmentHeading],tblDepartmentHeadings[DepartmentHeadingID],"")</f>
        <v/>
      </c>
      <c r="J167">
        <v>9</v>
      </c>
      <c r="K167">
        <f>_xlfn.XLOOKUP(_xlfn.XLOOKUP(tblTags[[#This Row],[Tag]],db_drift!$B$2:$B$259,db_drift!$E$2:$E$259),tblFuelTypes[FuelType],tblFuelTypes[FuelTypeID],"")</f>
        <v>2</v>
      </c>
      <c r="L167">
        <f>_xlfn.XLOOKUP(_xlfn.XLOOKUP(tblTags[[#This Row],[Tag]],db_drift!$B$2:$B$259,db_drift!$F$2:$F$259),tblFuelAllocations[FuelAllocation],tblFuelAllocations[FuelAllocationID],"")</f>
        <v>2</v>
      </c>
      <c r="M167">
        <f>_xlfn.XLOOKUP(tblTags[[#This Row],[Tag]],tblHelpCalc1[Tag],tblHelpCalc1[Calc1ID],"")</f>
        <v>17</v>
      </c>
      <c r="N167">
        <f>_xlfn.XLOOKUP(tblTags[[#This Row],[Tag]],tblHelpCalc2[Tag],tblHelpCalc2[Calc2ID],"")</f>
        <v>36</v>
      </c>
      <c r="O167" s="2">
        <f>_xlfn.XLOOKUP(_xlfn.XLOOKUP(tblTags[[#This Row],[Tag]],tblDbDrift[Tag],tblDbDrift[Hide Tags]),tblHideTags[HideTag],tblHideTags[ID],"")</f>
        <v>1</v>
      </c>
      <c r="P167" s="2"/>
      <c r="Q167" s="2" t="s">
        <v>733</v>
      </c>
      <c r="R167" s="2"/>
      <c r="S167" s="2"/>
    </row>
    <row r="168" spans="1:19" x14ac:dyDescent="0.2">
      <c r="A168">
        <v>158</v>
      </c>
      <c r="B168">
        <v>158</v>
      </c>
      <c r="C168" t="s">
        <v>401</v>
      </c>
      <c r="D168" t="s">
        <v>121</v>
      </c>
      <c r="E168" t="s">
        <v>121</v>
      </c>
      <c r="F168" cm="1">
        <f t="array" ref="F168">_xlfn.XLOOKUP(_xlfn.XLOOKUP(tblTags[[#This Row],[Tag]],db_drift!$B$2:$B$259,db_drift!$D$2:$D$259),tblInputTypes[[#All],[InputTypeName]],tblInputTypes[[#All],[InputTypeID]],"")</f>
        <v>1</v>
      </c>
      <c r="G168">
        <v>6</v>
      </c>
      <c r="I168" t="str">
        <f>_xlfn.XLOOKUP(_xlfn.XLOOKUP(tblTags[[#This Row],[Tag]],db_drift!$B$2:$B$259,db_drift!$A$2:$A$259),tblDepartmentHeadings[DepartmentHeading],tblDepartmentHeadings[DepartmentHeadingID],"")</f>
        <v/>
      </c>
      <c r="J168">
        <v>9</v>
      </c>
      <c r="K168">
        <f>_xlfn.XLOOKUP(_xlfn.XLOOKUP(tblTags[[#This Row],[Tag]],db_drift!$B$2:$B$259,db_drift!$E$2:$E$259),tblFuelTypes[FuelType],tblFuelTypes[FuelTypeID],"")</f>
        <v>2</v>
      </c>
      <c r="L168">
        <f>_xlfn.XLOOKUP(_xlfn.XLOOKUP(tblTags[[#This Row],[Tag]],db_drift!$B$2:$B$259,db_drift!$F$2:$F$259),tblFuelAllocations[FuelAllocation],tblFuelAllocations[FuelAllocationID],"")</f>
        <v>2</v>
      </c>
      <c r="M168">
        <f>_xlfn.XLOOKUP(tblTags[[#This Row],[Tag]],tblHelpCalc1[Tag],tblHelpCalc1[Calc1ID],"")</f>
        <v>18</v>
      </c>
      <c r="N168">
        <f>_xlfn.XLOOKUP(tblTags[[#This Row],[Tag]],tblHelpCalc2[Tag],tblHelpCalc2[Calc2ID],"")</f>
        <v>37</v>
      </c>
      <c r="O168" s="2">
        <f>_xlfn.XLOOKUP(_xlfn.XLOOKUP(tblTags[[#This Row],[Tag]],tblDbDrift[Tag],tblDbDrift[Hide Tags]),tblHideTags[HideTag],tblHideTags[ID],"")</f>
        <v>1</v>
      </c>
      <c r="P168" s="2"/>
      <c r="Q168" s="2" t="s">
        <v>734</v>
      </c>
      <c r="R168" s="2"/>
      <c r="S168" s="2"/>
    </row>
    <row r="169" spans="1:19" x14ac:dyDescent="0.2">
      <c r="A169">
        <v>159</v>
      </c>
      <c r="B169">
        <v>159</v>
      </c>
      <c r="C169" t="s">
        <v>402</v>
      </c>
      <c r="D169" t="s">
        <v>123</v>
      </c>
      <c r="E169" t="s">
        <v>123</v>
      </c>
      <c r="F169" cm="1">
        <f t="array" ref="F169">_xlfn.XLOOKUP(_xlfn.XLOOKUP(tblTags[[#This Row],[Tag]],db_drift!$B$2:$B$259,db_drift!$D$2:$D$259),tblInputTypes[[#All],[InputTypeName]],tblInputTypes[[#All],[InputTypeID]],"")</f>
        <v>1</v>
      </c>
      <c r="G169">
        <v>6</v>
      </c>
      <c r="I169" t="str">
        <f>_xlfn.XLOOKUP(_xlfn.XLOOKUP(tblTags[[#This Row],[Tag]],db_drift!$B$2:$B$259,db_drift!$A$2:$A$259),tblDepartmentHeadings[DepartmentHeading],tblDepartmentHeadings[DepartmentHeadingID],"")</f>
        <v/>
      </c>
      <c r="J169">
        <v>1</v>
      </c>
      <c r="K169">
        <f>_xlfn.XLOOKUP(_xlfn.XLOOKUP(tblTags[[#This Row],[Tag]],db_drift!$B$2:$B$259,db_drift!$E$2:$E$259),tblFuelTypes[FuelType],tblFuelTypes[FuelTypeID],"")</f>
        <v>2</v>
      </c>
      <c r="L169">
        <f>_xlfn.XLOOKUP(_xlfn.XLOOKUP(tblTags[[#This Row],[Tag]],db_drift!$B$2:$B$259,db_drift!$F$2:$F$259),tblFuelAllocations[FuelAllocation],tblFuelAllocations[FuelAllocationID],"")</f>
        <v>2</v>
      </c>
      <c r="M169">
        <f>_xlfn.XLOOKUP(tblTags[[#This Row],[Tag]],tblHelpCalc1[Tag],tblHelpCalc1[Calc1ID],"")</f>
        <v>19</v>
      </c>
      <c r="N169">
        <f>_xlfn.XLOOKUP(tblTags[[#This Row],[Tag]],tblHelpCalc2[Tag],tblHelpCalc2[Calc2ID],"")</f>
        <v>38</v>
      </c>
      <c r="O169" s="2">
        <f>_xlfn.XLOOKUP(_xlfn.XLOOKUP(tblTags[[#This Row],[Tag]],tblDbDrift[Tag],tblDbDrift[Hide Tags]),tblHideTags[HideTag],tblHideTags[ID],"")</f>
        <v>1</v>
      </c>
      <c r="P169" s="2"/>
      <c r="Q169" s="2" t="s">
        <v>735</v>
      </c>
      <c r="R169" s="2"/>
      <c r="S169" s="2"/>
    </row>
    <row r="170" spans="1:19" x14ac:dyDescent="0.2">
      <c r="A170">
        <v>160</v>
      </c>
      <c r="B170">
        <v>160</v>
      </c>
      <c r="C170" t="s">
        <v>403</v>
      </c>
      <c r="D170" t="s">
        <v>125</v>
      </c>
      <c r="E170" t="s">
        <v>125</v>
      </c>
      <c r="F170" cm="1">
        <f t="array" ref="F170">_xlfn.XLOOKUP(_xlfn.XLOOKUP(tblTags[[#This Row],[Tag]],db_drift!$B$2:$B$259,db_drift!$D$2:$D$259),tblInputTypes[[#All],[InputTypeName]],tblInputTypes[[#All],[InputTypeID]],"")</f>
        <v>1</v>
      </c>
      <c r="G170">
        <v>6</v>
      </c>
      <c r="I170" t="str">
        <f>_xlfn.XLOOKUP(_xlfn.XLOOKUP(tblTags[[#This Row],[Tag]],db_drift!$B$2:$B$259,db_drift!$A$2:$A$259),tblDepartmentHeadings[DepartmentHeading],tblDepartmentHeadings[DepartmentHeadingID],"")</f>
        <v/>
      </c>
      <c r="J170">
        <v>1</v>
      </c>
      <c r="K170" t="str">
        <f>_xlfn.XLOOKUP(_xlfn.XLOOKUP(tblTags[[#This Row],[Tag]],db_drift!$B$2:$B$259,db_drift!$E$2:$E$259),tblFuelTypes[FuelType],tblFuelTypes[FuelTypeID],"")</f>
        <v/>
      </c>
      <c r="L170">
        <f>_xlfn.XLOOKUP(_xlfn.XLOOKUP(tblTags[[#This Row],[Tag]],db_drift!$B$2:$B$259,db_drift!$F$2:$F$259),tblFuelAllocations[FuelAllocation],tblFuelAllocations[FuelAllocationID],"")</f>
        <v>1</v>
      </c>
      <c r="M170">
        <f>_xlfn.XLOOKUP(tblTags[[#This Row],[Tag]],tblHelpCalc1[Tag],tblHelpCalc1[Calc1ID],"")</f>
        <v>20</v>
      </c>
      <c r="N170">
        <f>_xlfn.XLOOKUP(tblTags[[#This Row],[Tag]],tblHelpCalc2[Tag],tblHelpCalc2[Calc2ID],"")</f>
        <v>39</v>
      </c>
      <c r="O170" s="2">
        <f>_xlfn.XLOOKUP(_xlfn.XLOOKUP(tblTags[[#This Row],[Tag]],tblDbDrift[Tag],tblDbDrift[Hide Tags]),tblHideTags[HideTag],tblHideTags[ID],"")</f>
        <v>1</v>
      </c>
      <c r="P170" s="2"/>
      <c r="Q170" s="2" t="s">
        <v>736</v>
      </c>
      <c r="R170" s="2"/>
      <c r="S170" s="2"/>
    </row>
    <row r="171" spans="1:19" x14ac:dyDescent="0.2">
      <c r="A171">
        <v>161</v>
      </c>
      <c r="B171">
        <v>161</v>
      </c>
      <c r="C171" t="s">
        <v>404</v>
      </c>
      <c r="D171" t="s">
        <v>255</v>
      </c>
      <c r="E171" t="s">
        <v>255</v>
      </c>
      <c r="F171" cm="1">
        <f t="array" ref="F171">_xlfn.XLOOKUP(_xlfn.XLOOKUP(tblTags[[#This Row],[Tag]],db_drift!$B$2:$B$259,db_drift!$D$2:$D$259),tblInputTypes[[#All],[InputTypeName]],tblInputTypes[[#All],[InputTypeID]],"")</f>
        <v>1</v>
      </c>
      <c r="G171">
        <v>6</v>
      </c>
      <c r="I171" t="str">
        <f>_xlfn.XLOOKUP(_xlfn.XLOOKUP(tblTags[[#This Row],[Tag]],db_drift!$B$2:$B$259,db_drift!$A$2:$A$259),tblDepartmentHeadings[DepartmentHeading],tblDepartmentHeadings[DepartmentHeadingID],"")</f>
        <v/>
      </c>
      <c r="J171">
        <v>9</v>
      </c>
      <c r="K171">
        <f>_xlfn.XLOOKUP(_xlfn.XLOOKUP(tblTags[[#This Row],[Tag]],db_drift!$B$2:$B$259,db_drift!$E$2:$E$259),tblFuelTypes[FuelType],tblFuelTypes[FuelTypeID],"")</f>
        <v>2</v>
      </c>
      <c r="L171">
        <f>_xlfn.XLOOKUP(_xlfn.XLOOKUP(tblTags[[#This Row],[Tag]],db_drift!$B$2:$B$259,db_drift!$F$2:$F$259),tblFuelAllocations[FuelAllocation],tblFuelAllocations[FuelAllocationID],"")</f>
        <v>2</v>
      </c>
      <c r="M171">
        <f>_xlfn.XLOOKUP(tblTags[[#This Row],[Tag]],tblHelpCalc1[Tag],tblHelpCalc1[Calc1ID],"")</f>
        <v>21</v>
      </c>
      <c r="N171">
        <f>_xlfn.XLOOKUP(tblTags[[#This Row],[Tag]],tblHelpCalc2[Tag],tblHelpCalc2[Calc2ID],"")</f>
        <v>40</v>
      </c>
      <c r="O171" s="2">
        <f>_xlfn.XLOOKUP(_xlfn.XLOOKUP(tblTags[[#This Row],[Tag]],tblDbDrift[Tag],tblDbDrift[Hide Tags]),tblHideTags[HideTag],tblHideTags[ID],"")</f>
        <v>1</v>
      </c>
      <c r="P171" s="2"/>
      <c r="Q171" s="2" t="s">
        <v>737</v>
      </c>
      <c r="R171" s="2"/>
      <c r="S171" s="2"/>
    </row>
    <row r="172" spans="1:19" x14ac:dyDescent="0.2">
      <c r="A172">
        <v>162</v>
      </c>
      <c r="B172">
        <v>162</v>
      </c>
      <c r="C172" t="s">
        <v>405</v>
      </c>
      <c r="D172" t="s">
        <v>257</v>
      </c>
      <c r="E172" t="s">
        <v>257</v>
      </c>
      <c r="F172" cm="1">
        <f t="array" ref="F172">_xlfn.XLOOKUP(_xlfn.XLOOKUP(tblTags[[#This Row],[Tag]],db_drift!$B$2:$B$259,db_drift!$D$2:$D$259),tblInputTypes[[#All],[InputTypeName]],tblInputTypes[[#All],[InputTypeID]],"")</f>
        <v>1</v>
      </c>
      <c r="G172">
        <v>6</v>
      </c>
      <c r="H172">
        <v>2</v>
      </c>
      <c r="I172" t="str">
        <f>_xlfn.XLOOKUP(_xlfn.XLOOKUP(tblTags[[#This Row],[Tag]],db_drift!$B$2:$B$259,db_drift!$A$2:$A$259),tblDepartmentHeadings[DepartmentHeading],tblDepartmentHeadings[DepartmentHeadingID],"")</f>
        <v/>
      </c>
      <c r="K172">
        <f>_xlfn.XLOOKUP(_xlfn.XLOOKUP(tblTags[[#This Row],[Tag]],db_drift!$B$2:$B$259,db_drift!$E$2:$E$259),tblFuelTypes[FuelType],tblFuelTypes[FuelTypeID],"")</f>
        <v>2</v>
      </c>
      <c r="L172">
        <f>_xlfn.XLOOKUP(_xlfn.XLOOKUP(tblTags[[#This Row],[Tag]],db_drift!$B$2:$B$259,db_drift!$F$2:$F$259),tblFuelAllocations[FuelAllocation],tblFuelAllocations[FuelAllocationID],"")</f>
        <v>1</v>
      </c>
      <c r="M172">
        <f>_xlfn.XLOOKUP(tblTags[[#This Row],[Tag]],tblHelpCalc1[Tag],tblHelpCalc1[Calc1ID],"")</f>
        <v>22</v>
      </c>
      <c r="N172">
        <f>_xlfn.XLOOKUP(tblTags[[#This Row],[Tag]],tblHelpCalc2[Tag],tblHelpCalc2[Calc2ID],"")</f>
        <v>41</v>
      </c>
      <c r="O172" s="2">
        <f>_xlfn.XLOOKUP(_xlfn.XLOOKUP(tblTags[[#This Row],[Tag]],tblDbDrift[Tag],tblDbDrift[Hide Tags]),tblHideTags[HideTag],tblHideTags[ID],"")</f>
        <v>1</v>
      </c>
      <c r="P172" s="2"/>
      <c r="Q172" s="2" t="s">
        <v>738</v>
      </c>
      <c r="R172" s="2"/>
      <c r="S172" s="2"/>
    </row>
    <row r="173" spans="1:19" x14ac:dyDescent="0.2">
      <c r="A173">
        <v>163</v>
      </c>
      <c r="B173">
        <v>163</v>
      </c>
      <c r="C173" t="s">
        <v>406</v>
      </c>
      <c r="F173" t="str" cm="1">
        <f t="array" ref="F173">_xlfn.XLOOKUP(_xlfn.XLOOKUP(tblTags[[#This Row],[Tag]],db_drift!$B$2:$B$259,db_drift!$D$2:$D$259),tblInputTypes[[#All],[InputTypeName]],tblInputTypes[[#All],[InputTypeID]],"")</f>
        <v/>
      </c>
      <c r="H173">
        <v>2</v>
      </c>
      <c r="I173" t="str">
        <f>_xlfn.XLOOKUP(_xlfn.XLOOKUP(tblTags[[#This Row],[Tag]],db_drift!$B$2:$B$259,db_drift!$A$2:$A$259),tblDepartmentHeadings[DepartmentHeading],tblDepartmentHeadings[DepartmentHeadingID],"")</f>
        <v/>
      </c>
      <c r="J173">
        <v>3</v>
      </c>
      <c r="K173" t="str">
        <f>_xlfn.XLOOKUP(_xlfn.XLOOKUP(tblTags[[#This Row],[Tag]],db_drift!$B$2:$B$259,db_drift!$E$2:$E$259),tblFuelTypes[FuelType],tblFuelTypes[FuelTypeID],"")</f>
        <v/>
      </c>
      <c r="L173" t="str">
        <f>_xlfn.XLOOKUP(_xlfn.XLOOKUP(tblTags[[#This Row],[Tag]],db_drift!$B$2:$B$259,db_drift!$F$2:$F$259),tblFuelAllocations[FuelAllocation],tblFuelAllocations[FuelAllocationID],"")</f>
        <v/>
      </c>
      <c r="M173" t="str">
        <f>_xlfn.XLOOKUP(tblTags[[#This Row],[Tag]],tblHelpCalc1[Tag],tblHelpCalc1[Calc1ID],"")</f>
        <v/>
      </c>
      <c r="N173" t="str">
        <f>_xlfn.XLOOKUP(tblTags[[#This Row],[Tag]],tblHelpCalc2[Tag],tblHelpCalc2[Calc2ID],"")</f>
        <v/>
      </c>
      <c r="O173" s="2">
        <f>_xlfn.XLOOKUP(_xlfn.XLOOKUP(tblTags[[#This Row],[Tag]],tblDbDrift[Tag],tblDbDrift[Hide Tags]),tblHideTags[HideTag],tblHideTags[ID],"")</f>
        <v>1</v>
      </c>
      <c r="P173" s="2"/>
      <c r="Q173" s="2" t="s">
        <v>739</v>
      </c>
      <c r="R173" s="2"/>
      <c r="S173" s="2"/>
    </row>
    <row r="174" spans="1:19" x14ac:dyDescent="0.2">
      <c r="A174">
        <v>164</v>
      </c>
      <c r="B174">
        <v>164</v>
      </c>
      <c r="C174" t="s">
        <v>407</v>
      </c>
      <c r="D174" t="s">
        <v>109</v>
      </c>
      <c r="E174" t="s">
        <v>109</v>
      </c>
      <c r="F174" cm="1">
        <f t="array" ref="F174">_xlfn.XLOOKUP(_xlfn.XLOOKUP(tblTags[[#This Row],[Tag]],db_drift!$B$2:$B$259,db_drift!$D$2:$D$259),tblInputTypes[[#All],[InputTypeName]],tblInputTypes[[#All],[InputTypeID]],"")</f>
        <v>1</v>
      </c>
      <c r="G174">
        <v>13</v>
      </c>
      <c r="H174">
        <v>2</v>
      </c>
      <c r="I174">
        <f>_xlfn.XLOOKUP(_xlfn.XLOOKUP(tblTags[[#This Row],[Tag]],db_drift!$B$2:$B$259,db_drift!$A$2:$A$259),tblDepartmentHeadings[DepartmentHeading],tblDepartmentHeadings[DepartmentHeadingID],"")</f>
        <v>13</v>
      </c>
      <c r="J174">
        <v>9</v>
      </c>
      <c r="K174">
        <f>_xlfn.XLOOKUP(_xlfn.XLOOKUP(tblTags[[#This Row],[Tag]],db_drift!$B$2:$B$259,db_drift!$E$2:$E$259),tblFuelTypes[FuelType],tblFuelTypes[FuelTypeID],"")</f>
        <v>2</v>
      </c>
      <c r="L174">
        <f>_xlfn.XLOOKUP(_xlfn.XLOOKUP(tblTags[[#This Row],[Tag]],db_drift!$B$2:$B$259,db_drift!$F$2:$F$259),tblFuelAllocations[FuelAllocation],tblFuelAllocations[FuelAllocationID],"")</f>
        <v>1</v>
      </c>
      <c r="M174">
        <f>_xlfn.XLOOKUP(tblTags[[#This Row],[Tag]],tblHelpCalc1[Tag],tblHelpCalc1[Calc1ID],"")</f>
        <v>23</v>
      </c>
      <c r="N174">
        <f>_xlfn.XLOOKUP(tblTags[[#This Row],[Tag]],tblHelpCalc2[Tag],tblHelpCalc2[Calc2ID],"")</f>
        <v>42</v>
      </c>
      <c r="O174" s="2">
        <f>_xlfn.XLOOKUP(_xlfn.XLOOKUP(tblTags[[#This Row],[Tag]],tblDbDrift[Tag],tblDbDrift[Hide Tags]),tblHideTags[HideTag],tblHideTags[ID],"")</f>
        <v>1</v>
      </c>
      <c r="P174" s="2"/>
      <c r="Q174" s="2" t="s">
        <v>740</v>
      </c>
      <c r="R174" s="2"/>
      <c r="S174" s="2"/>
    </row>
    <row r="175" spans="1:19" x14ac:dyDescent="0.2">
      <c r="A175">
        <v>165</v>
      </c>
      <c r="B175">
        <v>165</v>
      </c>
      <c r="C175" t="s">
        <v>408</v>
      </c>
      <c r="D175" t="s">
        <v>111</v>
      </c>
      <c r="E175" t="s">
        <v>111</v>
      </c>
      <c r="F175" cm="1">
        <f t="array" ref="F175">_xlfn.XLOOKUP(_xlfn.XLOOKUP(tblTags[[#This Row],[Tag]],db_drift!$B$2:$B$259,db_drift!$D$2:$D$259),tblInputTypes[[#All],[InputTypeName]],tblInputTypes[[#All],[InputTypeID]],"")</f>
        <v>1</v>
      </c>
      <c r="G175">
        <v>13</v>
      </c>
      <c r="H175">
        <v>2</v>
      </c>
      <c r="I175" t="str">
        <f>_xlfn.XLOOKUP(_xlfn.XLOOKUP(tblTags[[#This Row],[Tag]],db_drift!$B$2:$B$259,db_drift!$A$2:$A$259),tblDepartmentHeadings[DepartmentHeading],tblDepartmentHeadings[DepartmentHeadingID],"")</f>
        <v/>
      </c>
      <c r="J175">
        <v>1</v>
      </c>
      <c r="K175">
        <f>_xlfn.XLOOKUP(_xlfn.XLOOKUP(tblTags[[#This Row],[Tag]],db_drift!$B$2:$B$259,db_drift!$E$2:$E$259),tblFuelTypes[FuelType],tblFuelTypes[FuelTypeID],"")</f>
        <v>1</v>
      </c>
      <c r="L175">
        <f>_xlfn.XLOOKUP(_xlfn.XLOOKUP(tblTags[[#This Row],[Tag]],db_drift!$B$2:$B$259,db_drift!$F$2:$F$259),tblFuelAllocations[FuelAllocation],tblFuelAllocations[FuelAllocationID],"")</f>
        <v>2</v>
      </c>
      <c r="M175">
        <f>_xlfn.XLOOKUP(tblTags[[#This Row],[Tag]],tblHelpCalc1[Tag],tblHelpCalc1[Calc1ID],"")</f>
        <v>24</v>
      </c>
      <c r="N175">
        <f>_xlfn.XLOOKUP(tblTags[[#This Row],[Tag]],tblHelpCalc2[Tag],tblHelpCalc2[Calc2ID],"")</f>
        <v>43</v>
      </c>
      <c r="O175" s="2">
        <f>_xlfn.XLOOKUP(_xlfn.XLOOKUP(tblTags[[#This Row],[Tag]],tblDbDrift[Tag],tblDbDrift[Hide Tags]),tblHideTags[HideTag],tblHideTags[ID],"")</f>
        <v>1</v>
      </c>
      <c r="P175" s="2"/>
      <c r="Q175" s="2" t="s">
        <v>741</v>
      </c>
      <c r="R175" s="2"/>
      <c r="S175" s="2"/>
    </row>
    <row r="176" spans="1:19" x14ac:dyDescent="0.2">
      <c r="A176">
        <v>166</v>
      </c>
      <c r="B176">
        <v>166</v>
      </c>
      <c r="C176" t="s">
        <v>409</v>
      </c>
      <c r="D176" t="s">
        <v>246</v>
      </c>
      <c r="E176" t="s">
        <v>246</v>
      </c>
      <c r="F176" cm="1">
        <f t="array" ref="F176">_xlfn.XLOOKUP(_xlfn.XLOOKUP(tblTags[[#This Row],[Tag]],db_drift!$B$2:$B$259,db_drift!$D$2:$D$259),tblInputTypes[[#All],[InputTypeName]],tblInputTypes[[#All],[InputTypeID]],"")</f>
        <v>1</v>
      </c>
      <c r="G176">
        <v>13</v>
      </c>
      <c r="H176">
        <v>2</v>
      </c>
      <c r="I176" t="str">
        <f>_xlfn.XLOOKUP(_xlfn.XLOOKUP(tblTags[[#This Row],[Tag]],db_drift!$B$2:$B$259,db_drift!$A$2:$A$259),tblDepartmentHeadings[DepartmentHeading],tblDepartmentHeadings[DepartmentHeadingID],"")</f>
        <v/>
      </c>
      <c r="J176">
        <v>8</v>
      </c>
      <c r="K176">
        <f>_xlfn.XLOOKUP(_xlfn.XLOOKUP(tblTags[[#This Row],[Tag]],db_drift!$B$2:$B$259,db_drift!$E$2:$E$259),tblFuelTypes[FuelType],tblFuelTypes[FuelTypeID],"")</f>
        <v>1</v>
      </c>
      <c r="L176">
        <f>_xlfn.XLOOKUP(_xlfn.XLOOKUP(tblTags[[#This Row],[Tag]],db_drift!$B$2:$B$259,db_drift!$F$2:$F$259),tblFuelAllocations[FuelAllocation],tblFuelAllocations[FuelAllocationID],"")</f>
        <v>1</v>
      </c>
      <c r="M176">
        <f>_xlfn.XLOOKUP(tblTags[[#This Row],[Tag]],tblHelpCalc1[Tag],tblHelpCalc1[Calc1ID],"")</f>
        <v>25</v>
      </c>
      <c r="N176">
        <f>_xlfn.XLOOKUP(tblTags[[#This Row],[Tag]],tblHelpCalc2[Tag],tblHelpCalc2[Calc2ID],"")</f>
        <v>44</v>
      </c>
      <c r="O176" s="2">
        <f>_xlfn.XLOOKUP(_xlfn.XLOOKUP(tblTags[[#This Row],[Tag]],tblDbDrift[Tag],tblDbDrift[Hide Tags]),tblHideTags[HideTag],tblHideTags[ID],"")</f>
        <v>1</v>
      </c>
      <c r="P176" s="2"/>
      <c r="Q176" s="2" t="s">
        <v>742</v>
      </c>
      <c r="R176" s="2"/>
      <c r="S176" s="2"/>
    </row>
    <row r="177" spans="1:19" x14ac:dyDescent="0.2">
      <c r="A177">
        <v>167</v>
      </c>
      <c r="B177">
        <v>167</v>
      </c>
      <c r="C177" t="s">
        <v>410</v>
      </c>
      <c r="D177" t="s">
        <v>115</v>
      </c>
      <c r="E177" t="s">
        <v>115</v>
      </c>
      <c r="F177" cm="1">
        <f t="array" ref="F177">_xlfn.XLOOKUP(_xlfn.XLOOKUP(tblTags[[#This Row],[Tag]],db_drift!$B$2:$B$259,db_drift!$D$2:$D$259),tblInputTypes[[#All],[InputTypeName]],tblInputTypes[[#All],[InputTypeID]],"")</f>
        <v>1</v>
      </c>
      <c r="G177">
        <v>13</v>
      </c>
      <c r="H177">
        <v>2</v>
      </c>
      <c r="I177" t="str">
        <f>_xlfn.XLOOKUP(_xlfn.XLOOKUP(tblTags[[#This Row],[Tag]],db_drift!$B$2:$B$259,db_drift!$A$2:$A$259),tblDepartmentHeadings[DepartmentHeading],tblDepartmentHeadings[DepartmentHeadingID],"")</f>
        <v/>
      </c>
      <c r="J177">
        <v>6</v>
      </c>
      <c r="K177">
        <f>_xlfn.XLOOKUP(_xlfn.XLOOKUP(tblTags[[#This Row],[Tag]],db_drift!$B$2:$B$259,db_drift!$E$2:$E$259),tblFuelTypes[FuelType],tblFuelTypes[FuelTypeID],"")</f>
        <v>2</v>
      </c>
      <c r="L177">
        <f>_xlfn.XLOOKUP(_xlfn.XLOOKUP(tblTags[[#This Row],[Tag]],db_drift!$B$2:$B$259,db_drift!$F$2:$F$259),tblFuelAllocations[FuelAllocation],tblFuelAllocations[FuelAllocationID],"")</f>
        <v>2</v>
      </c>
      <c r="M177">
        <f>_xlfn.XLOOKUP(tblTags[[#This Row],[Tag]],tblHelpCalc1[Tag],tblHelpCalc1[Calc1ID],"")</f>
        <v>26</v>
      </c>
      <c r="N177">
        <f>_xlfn.XLOOKUP(tblTags[[#This Row],[Tag]],tblHelpCalc2[Tag],tblHelpCalc2[Calc2ID],"")</f>
        <v>45</v>
      </c>
      <c r="O177" s="2">
        <f>_xlfn.XLOOKUP(_xlfn.XLOOKUP(tblTags[[#This Row],[Tag]],tblDbDrift[Tag],tblDbDrift[Hide Tags]),tblHideTags[HideTag],tblHideTags[ID],"")</f>
        <v>1</v>
      </c>
      <c r="P177" s="2"/>
      <c r="Q177" s="2" t="s">
        <v>743</v>
      </c>
      <c r="R177" s="2"/>
      <c r="S177" s="2"/>
    </row>
    <row r="178" spans="1:19" x14ac:dyDescent="0.2">
      <c r="A178">
        <v>168</v>
      </c>
      <c r="B178">
        <v>168</v>
      </c>
      <c r="C178" t="s">
        <v>411</v>
      </c>
      <c r="D178" t="s">
        <v>117</v>
      </c>
      <c r="E178" t="s">
        <v>117</v>
      </c>
      <c r="F178" cm="1">
        <f t="array" ref="F178">_xlfn.XLOOKUP(_xlfn.XLOOKUP(tblTags[[#This Row],[Tag]],db_drift!$B$2:$B$259,db_drift!$D$2:$D$259),tblInputTypes[[#All],[InputTypeName]],tblInputTypes[[#All],[InputTypeID]],"")</f>
        <v>1</v>
      </c>
      <c r="G178">
        <v>13</v>
      </c>
      <c r="H178">
        <v>2</v>
      </c>
      <c r="I178" t="str">
        <f>_xlfn.XLOOKUP(_xlfn.XLOOKUP(tblTags[[#This Row],[Tag]],db_drift!$B$2:$B$259,db_drift!$A$2:$A$259),tblDepartmentHeadings[DepartmentHeading],tblDepartmentHeadings[DepartmentHeadingID],"")</f>
        <v/>
      </c>
      <c r="J178">
        <v>1</v>
      </c>
      <c r="K178">
        <f>_xlfn.XLOOKUP(_xlfn.XLOOKUP(tblTags[[#This Row],[Tag]],db_drift!$B$2:$B$259,db_drift!$E$2:$E$259),tblFuelTypes[FuelType],tblFuelTypes[FuelTypeID],"")</f>
        <v>2</v>
      </c>
      <c r="L178">
        <f>_xlfn.XLOOKUP(_xlfn.XLOOKUP(tblTags[[#This Row],[Tag]],db_drift!$B$2:$B$259,db_drift!$F$2:$F$259),tblFuelAllocations[FuelAllocation],tblFuelAllocations[FuelAllocationID],"")</f>
        <v>2</v>
      </c>
      <c r="M178">
        <f>_xlfn.XLOOKUP(tblTags[[#This Row],[Tag]],tblHelpCalc1[Tag],tblHelpCalc1[Calc1ID],"")</f>
        <v>27</v>
      </c>
      <c r="N178">
        <f>_xlfn.XLOOKUP(tblTags[[#This Row],[Tag]],tblHelpCalc2[Tag],tblHelpCalc2[Calc2ID],"")</f>
        <v>46</v>
      </c>
      <c r="O178" s="2">
        <f>_xlfn.XLOOKUP(_xlfn.XLOOKUP(tblTags[[#This Row],[Tag]],tblDbDrift[Tag],tblDbDrift[Hide Tags]),tblHideTags[HideTag],tblHideTags[ID],"")</f>
        <v>1</v>
      </c>
      <c r="P178" s="2"/>
      <c r="Q178" s="2" t="s">
        <v>744</v>
      </c>
      <c r="R178" s="2"/>
      <c r="S178" s="2"/>
    </row>
    <row r="179" spans="1:19" x14ac:dyDescent="0.2">
      <c r="A179">
        <v>169</v>
      </c>
      <c r="B179">
        <v>169</v>
      </c>
      <c r="C179" t="s">
        <v>412</v>
      </c>
      <c r="D179" t="s">
        <v>250</v>
      </c>
      <c r="E179" t="s">
        <v>250</v>
      </c>
      <c r="F179" cm="1">
        <f t="array" ref="F179">_xlfn.XLOOKUP(_xlfn.XLOOKUP(tblTags[[#This Row],[Tag]],db_drift!$B$2:$B$259,db_drift!$D$2:$D$259),tblInputTypes[[#All],[InputTypeName]],tblInputTypes[[#All],[InputTypeID]],"")</f>
        <v>1</v>
      </c>
      <c r="G179">
        <v>13</v>
      </c>
      <c r="H179">
        <v>2</v>
      </c>
      <c r="I179" t="str">
        <f>_xlfn.XLOOKUP(_xlfn.XLOOKUP(tblTags[[#This Row],[Tag]],db_drift!$B$2:$B$259,db_drift!$A$2:$A$259),tblDepartmentHeadings[DepartmentHeading],tblDepartmentHeadings[DepartmentHeadingID],"")</f>
        <v/>
      </c>
      <c r="J179">
        <v>1</v>
      </c>
      <c r="K179">
        <f>_xlfn.XLOOKUP(_xlfn.XLOOKUP(tblTags[[#This Row],[Tag]],db_drift!$B$2:$B$259,db_drift!$E$2:$E$259),tblFuelTypes[FuelType],tblFuelTypes[FuelTypeID],"")</f>
        <v>2</v>
      </c>
      <c r="L179">
        <f>_xlfn.XLOOKUP(_xlfn.XLOOKUP(tblTags[[#This Row],[Tag]],db_drift!$B$2:$B$259,db_drift!$F$2:$F$259),tblFuelAllocations[FuelAllocation],tblFuelAllocations[FuelAllocationID],"")</f>
        <v>2</v>
      </c>
      <c r="M179">
        <f>_xlfn.XLOOKUP(tblTags[[#This Row],[Tag]],tblHelpCalc1[Tag],tblHelpCalc1[Calc1ID],"")</f>
        <v>28</v>
      </c>
      <c r="N179">
        <f>_xlfn.XLOOKUP(tblTags[[#This Row],[Tag]],tblHelpCalc2[Tag],tblHelpCalc2[Calc2ID],"")</f>
        <v>47</v>
      </c>
      <c r="O179" s="2">
        <f>_xlfn.XLOOKUP(_xlfn.XLOOKUP(tblTags[[#This Row],[Tag]],tblDbDrift[Tag],tblDbDrift[Hide Tags]),tblHideTags[HideTag],tblHideTags[ID],"")</f>
        <v>1</v>
      </c>
      <c r="P179" s="2"/>
      <c r="Q179" s="2" t="s">
        <v>745</v>
      </c>
      <c r="R179" s="2"/>
      <c r="S179" s="2"/>
    </row>
    <row r="180" spans="1:19" x14ac:dyDescent="0.2">
      <c r="A180">
        <v>170</v>
      </c>
      <c r="B180">
        <v>170</v>
      </c>
      <c r="C180" t="s">
        <v>413</v>
      </c>
      <c r="D180" t="s">
        <v>121</v>
      </c>
      <c r="E180" t="s">
        <v>121</v>
      </c>
      <c r="F180" cm="1">
        <f t="array" ref="F180">_xlfn.XLOOKUP(_xlfn.XLOOKUP(tblTags[[#This Row],[Tag]],db_drift!$B$2:$B$259,db_drift!$D$2:$D$259),tblInputTypes[[#All],[InputTypeName]],tblInputTypes[[#All],[InputTypeID]],"")</f>
        <v>1</v>
      </c>
      <c r="G180">
        <v>13</v>
      </c>
      <c r="H180">
        <v>2</v>
      </c>
      <c r="I180" t="str">
        <f>_xlfn.XLOOKUP(_xlfn.XLOOKUP(tblTags[[#This Row],[Tag]],db_drift!$B$2:$B$259,db_drift!$A$2:$A$259),tblDepartmentHeadings[DepartmentHeading],tblDepartmentHeadings[DepartmentHeadingID],"")</f>
        <v/>
      </c>
      <c r="J180">
        <v>1</v>
      </c>
      <c r="K180">
        <f>_xlfn.XLOOKUP(_xlfn.XLOOKUP(tblTags[[#This Row],[Tag]],db_drift!$B$2:$B$259,db_drift!$E$2:$E$259),tblFuelTypes[FuelType],tblFuelTypes[FuelTypeID],"")</f>
        <v>2</v>
      </c>
      <c r="L180">
        <f>_xlfn.XLOOKUP(_xlfn.XLOOKUP(tblTags[[#This Row],[Tag]],db_drift!$B$2:$B$259,db_drift!$F$2:$F$259),tblFuelAllocations[FuelAllocation],tblFuelAllocations[FuelAllocationID],"")</f>
        <v>2</v>
      </c>
      <c r="M180">
        <f>_xlfn.XLOOKUP(tblTags[[#This Row],[Tag]],tblHelpCalc1[Tag],tblHelpCalc1[Calc1ID],"")</f>
        <v>29</v>
      </c>
      <c r="N180">
        <f>_xlfn.XLOOKUP(tblTags[[#This Row],[Tag]],tblHelpCalc2[Tag],tblHelpCalc2[Calc2ID],"")</f>
        <v>48</v>
      </c>
      <c r="O180" s="2">
        <f>_xlfn.XLOOKUP(_xlfn.XLOOKUP(tblTags[[#This Row],[Tag]],tblDbDrift[Tag],tblDbDrift[Hide Tags]),tblHideTags[HideTag],tblHideTags[ID],"")</f>
        <v>1</v>
      </c>
      <c r="P180" s="2"/>
      <c r="Q180" s="2" t="s">
        <v>746</v>
      </c>
      <c r="R180" s="2"/>
      <c r="S180" s="2"/>
    </row>
    <row r="181" spans="1:19" x14ac:dyDescent="0.2">
      <c r="A181">
        <v>171</v>
      </c>
      <c r="B181">
        <v>171</v>
      </c>
      <c r="C181" t="s">
        <v>414</v>
      </c>
      <c r="D181" t="s">
        <v>123</v>
      </c>
      <c r="E181" t="s">
        <v>123</v>
      </c>
      <c r="F181" cm="1">
        <f t="array" ref="F181">_xlfn.XLOOKUP(_xlfn.XLOOKUP(tblTags[[#This Row],[Tag]],db_drift!$B$2:$B$259,db_drift!$D$2:$D$259),tblInputTypes[[#All],[InputTypeName]],tblInputTypes[[#All],[InputTypeID]],"")</f>
        <v>1</v>
      </c>
      <c r="G181">
        <v>13</v>
      </c>
      <c r="H181">
        <v>2</v>
      </c>
      <c r="I181" t="str">
        <f>_xlfn.XLOOKUP(_xlfn.XLOOKUP(tblTags[[#This Row],[Tag]],db_drift!$B$2:$B$259,db_drift!$A$2:$A$259),tblDepartmentHeadings[DepartmentHeading],tblDepartmentHeadings[DepartmentHeadingID],"")</f>
        <v/>
      </c>
      <c r="J181">
        <v>1</v>
      </c>
      <c r="K181">
        <f>_xlfn.XLOOKUP(_xlfn.XLOOKUP(tblTags[[#This Row],[Tag]],db_drift!$B$2:$B$259,db_drift!$E$2:$E$259),tblFuelTypes[FuelType],tblFuelTypes[FuelTypeID],"")</f>
        <v>2</v>
      </c>
      <c r="L181">
        <f>_xlfn.XLOOKUP(_xlfn.XLOOKUP(tblTags[[#This Row],[Tag]],db_drift!$B$2:$B$259,db_drift!$F$2:$F$259),tblFuelAllocations[FuelAllocation],tblFuelAllocations[FuelAllocationID],"")</f>
        <v>2</v>
      </c>
      <c r="M181">
        <f>_xlfn.XLOOKUP(tblTags[[#This Row],[Tag]],tblHelpCalc1[Tag],tblHelpCalc1[Calc1ID],"")</f>
        <v>30</v>
      </c>
      <c r="N181">
        <f>_xlfn.XLOOKUP(tblTags[[#This Row],[Tag]],tblHelpCalc2[Tag],tblHelpCalc2[Calc2ID],"")</f>
        <v>49</v>
      </c>
      <c r="O181" s="2">
        <f>_xlfn.XLOOKUP(_xlfn.XLOOKUP(tblTags[[#This Row],[Tag]],tblDbDrift[Tag],tblDbDrift[Hide Tags]),tblHideTags[HideTag],tblHideTags[ID],"")</f>
        <v>1</v>
      </c>
      <c r="P181" s="2"/>
      <c r="Q181" s="2" t="s">
        <v>747</v>
      </c>
      <c r="R181" s="2"/>
      <c r="S181" s="2"/>
    </row>
    <row r="182" spans="1:19" x14ac:dyDescent="0.2">
      <c r="A182">
        <v>172</v>
      </c>
      <c r="B182">
        <v>172</v>
      </c>
      <c r="C182" t="s">
        <v>415</v>
      </c>
      <c r="D182" t="s">
        <v>125</v>
      </c>
      <c r="E182" t="s">
        <v>125</v>
      </c>
      <c r="F182" cm="1">
        <f t="array" ref="F182">_xlfn.XLOOKUP(_xlfn.XLOOKUP(tblTags[[#This Row],[Tag]],db_drift!$B$2:$B$259,db_drift!$D$2:$D$259),tblInputTypes[[#All],[InputTypeName]],tblInputTypes[[#All],[InputTypeID]],"")</f>
        <v>1</v>
      </c>
      <c r="G182">
        <v>13</v>
      </c>
      <c r="H182">
        <v>2</v>
      </c>
      <c r="I182" t="str">
        <f>_xlfn.XLOOKUP(_xlfn.XLOOKUP(tblTags[[#This Row],[Tag]],db_drift!$B$2:$B$259,db_drift!$A$2:$A$259),tblDepartmentHeadings[DepartmentHeading],tblDepartmentHeadings[DepartmentHeadingID],"")</f>
        <v/>
      </c>
      <c r="J182">
        <v>1</v>
      </c>
      <c r="K182" t="str">
        <f>_xlfn.XLOOKUP(_xlfn.XLOOKUP(tblTags[[#This Row],[Tag]],db_drift!$B$2:$B$259,db_drift!$E$2:$E$259),tblFuelTypes[FuelType],tblFuelTypes[FuelTypeID],"")</f>
        <v/>
      </c>
      <c r="L182">
        <f>_xlfn.XLOOKUP(_xlfn.XLOOKUP(tblTags[[#This Row],[Tag]],db_drift!$B$2:$B$259,db_drift!$F$2:$F$259),tblFuelAllocations[FuelAllocation],tblFuelAllocations[FuelAllocationID],"")</f>
        <v>1</v>
      </c>
      <c r="M182">
        <f>_xlfn.XLOOKUP(tblTags[[#This Row],[Tag]],tblHelpCalc1[Tag],tblHelpCalc1[Calc1ID],"")</f>
        <v>31</v>
      </c>
      <c r="N182">
        <f>_xlfn.XLOOKUP(tblTags[[#This Row],[Tag]],tblHelpCalc2[Tag],tblHelpCalc2[Calc2ID],"")</f>
        <v>50</v>
      </c>
      <c r="O182" s="2">
        <f>_xlfn.XLOOKUP(_xlfn.XLOOKUP(tblTags[[#This Row],[Tag]],tblDbDrift[Tag],tblDbDrift[Hide Tags]),tblHideTags[HideTag],tblHideTags[ID],"")</f>
        <v>1</v>
      </c>
      <c r="P182" s="2"/>
      <c r="Q182" s="2" t="s">
        <v>748</v>
      </c>
      <c r="R182" s="2"/>
      <c r="S182" s="2"/>
    </row>
    <row r="183" spans="1:19" x14ac:dyDescent="0.2">
      <c r="A183">
        <v>173</v>
      </c>
      <c r="B183">
        <v>173</v>
      </c>
      <c r="C183" t="s">
        <v>416</v>
      </c>
      <c r="D183" t="s">
        <v>255</v>
      </c>
      <c r="E183" t="s">
        <v>255</v>
      </c>
      <c r="F183" cm="1">
        <f t="array" ref="F183">_xlfn.XLOOKUP(_xlfn.XLOOKUP(tblTags[[#This Row],[Tag]],db_drift!$B$2:$B$259,db_drift!$D$2:$D$259),tblInputTypes[[#All],[InputTypeName]],tblInputTypes[[#All],[InputTypeID]],"")</f>
        <v>1</v>
      </c>
      <c r="G183">
        <v>13</v>
      </c>
      <c r="H183">
        <v>2</v>
      </c>
      <c r="I183" t="str">
        <f>_xlfn.XLOOKUP(_xlfn.XLOOKUP(tblTags[[#This Row],[Tag]],db_drift!$B$2:$B$259,db_drift!$A$2:$A$259),tblDepartmentHeadings[DepartmentHeading],tblDepartmentHeadings[DepartmentHeadingID],"")</f>
        <v/>
      </c>
      <c r="J183">
        <v>1</v>
      </c>
      <c r="K183">
        <f>_xlfn.XLOOKUP(_xlfn.XLOOKUP(tblTags[[#This Row],[Tag]],db_drift!$B$2:$B$259,db_drift!$E$2:$E$259),tblFuelTypes[FuelType],tblFuelTypes[FuelTypeID],"")</f>
        <v>2</v>
      </c>
      <c r="L183">
        <f>_xlfn.XLOOKUP(_xlfn.XLOOKUP(tblTags[[#This Row],[Tag]],db_drift!$B$2:$B$259,db_drift!$F$2:$F$259),tblFuelAllocations[FuelAllocation],tblFuelAllocations[FuelAllocationID],"")</f>
        <v>2</v>
      </c>
      <c r="M183">
        <f>_xlfn.XLOOKUP(tblTags[[#This Row],[Tag]],tblHelpCalc1[Tag],tblHelpCalc1[Calc1ID],"")</f>
        <v>32</v>
      </c>
      <c r="N183">
        <f>_xlfn.XLOOKUP(tblTags[[#This Row],[Tag]],tblHelpCalc2[Tag],tblHelpCalc2[Calc2ID],"")</f>
        <v>51</v>
      </c>
      <c r="O183" s="2">
        <f>_xlfn.XLOOKUP(_xlfn.XLOOKUP(tblTags[[#This Row],[Tag]],tblDbDrift[Tag],tblDbDrift[Hide Tags]),tblHideTags[HideTag],tblHideTags[ID],"")</f>
        <v>1</v>
      </c>
      <c r="P183" s="2"/>
      <c r="Q183" s="2" t="s">
        <v>749</v>
      </c>
      <c r="R183" s="2"/>
      <c r="S183" s="2"/>
    </row>
    <row r="184" spans="1:19" x14ac:dyDescent="0.2">
      <c r="A184">
        <v>174</v>
      </c>
      <c r="B184">
        <v>174</v>
      </c>
      <c r="C184" t="s">
        <v>417</v>
      </c>
      <c r="D184" t="s">
        <v>257</v>
      </c>
      <c r="E184" t="s">
        <v>257</v>
      </c>
      <c r="F184" cm="1">
        <f t="array" ref="F184">_xlfn.XLOOKUP(_xlfn.XLOOKUP(tblTags[[#This Row],[Tag]],db_drift!$B$2:$B$259,db_drift!$D$2:$D$259),tblInputTypes[[#All],[InputTypeName]],tblInputTypes[[#All],[InputTypeID]],"")</f>
        <v>1</v>
      </c>
      <c r="G184">
        <v>13</v>
      </c>
      <c r="H184">
        <v>2</v>
      </c>
      <c r="I184" t="str">
        <f>_xlfn.XLOOKUP(_xlfn.XLOOKUP(tblTags[[#This Row],[Tag]],db_drift!$B$2:$B$259,db_drift!$A$2:$A$259),tblDepartmentHeadings[DepartmentHeading],tblDepartmentHeadings[DepartmentHeadingID],"")</f>
        <v/>
      </c>
      <c r="J184">
        <v>1</v>
      </c>
      <c r="K184">
        <f>_xlfn.XLOOKUP(_xlfn.XLOOKUP(tblTags[[#This Row],[Tag]],db_drift!$B$2:$B$259,db_drift!$E$2:$E$259),tblFuelTypes[FuelType],tblFuelTypes[FuelTypeID],"")</f>
        <v>2</v>
      </c>
      <c r="L184">
        <f>_xlfn.XLOOKUP(_xlfn.XLOOKUP(tblTags[[#This Row],[Tag]],db_drift!$B$2:$B$259,db_drift!$F$2:$F$259),tblFuelAllocations[FuelAllocation],tblFuelAllocations[FuelAllocationID],"")</f>
        <v>1</v>
      </c>
      <c r="M184">
        <f>_xlfn.XLOOKUP(tblTags[[#This Row],[Tag]],tblHelpCalc1[Tag],tblHelpCalc1[Calc1ID],"")</f>
        <v>33</v>
      </c>
      <c r="N184">
        <f>_xlfn.XLOOKUP(tblTags[[#This Row],[Tag]],tblHelpCalc2[Tag],tblHelpCalc2[Calc2ID],"")</f>
        <v>52</v>
      </c>
      <c r="O184" s="2">
        <f>_xlfn.XLOOKUP(_xlfn.XLOOKUP(tblTags[[#This Row],[Tag]],tblDbDrift[Tag],tblDbDrift[Hide Tags]),tblHideTags[HideTag],tblHideTags[ID],"")</f>
        <v>1</v>
      </c>
      <c r="P184" s="2"/>
      <c r="Q184" s="2" t="s">
        <v>750</v>
      </c>
      <c r="R184" s="2"/>
      <c r="S184" s="2"/>
    </row>
    <row r="185" spans="1:19" x14ac:dyDescent="0.2">
      <c r="A185">
        <v>175</v>
      </c>
      <c r="B185">
        <v>175</v>
      </c>
      <c r="C185" t="s">
        <v>418</v>
      </c>
      <c r="D185" t="s">
        <v>109</v>
      </c>
      <c r="E185" t="s">
        <v>109</v>
      </c>
      <c r="F185" cm="1">
        <f t="array" ref="F185">_xlfn.XLOOKUP(_xlfn.XLOOKUP(tblTags[[#This Row],[Tag]],db_drift!$B$2:$B$259,db_drift!$D$2:$D$259),tblInputTypes[[#All],[InputTypeName]],tblInputTypes[[#All],[InputTypeID]],"")</f>
        <v>1</v>
      </c>
      <c r="G185">
        <v>13</v>
      </c>
      <c r="H185">
        <v>3</v>
      </c>
      <c r="I185" t="str">
        <f>_xlfn.XLOOKUP(_xlfn.XLOOKUP(tblTags[[#This Row],[Tag]],db_drift!$B$2:$B$259,db_drift!$A$2:$A$259),tblDepartmentHeadings[DepartmentHeading],tblDepartmentHeadings[DepartmentHeadingID],"")</f>
        <v/>
      </c>
      <c r="K185">
        <f>_xlfn.XLOOKUP(_xlfn.XLOOKUP(tblTags[[#This Row],[Tag]],db_drift!$B$2:$B$259,db_drift!$E$2:$E$259),tblFuelTypes[FuelType],tblFuelTypes[FuelTypeID],"")</f>
        <v>2</v>
      </c>
      <c r="L185">
        <f>_xlfn.XLOOKUP(_xlfn.XLOOKUP(tblTags[[#This Row],[Tag]],db_drift!$B$2:$B$259,db_drift!$F$2:$F$259),tblFuelAllocations[FuelAllocation],tblFuelAllocations[FuelAllocationID],"")</f>
        <v>1</v>
      </c>
      <c r="M185">
        <f>_xlfn.XLOOKUP(tblTags[[#This Row],[Tag]],tblHelpCalc1[Tag],tblHelpCalc1[Calc1ID],"")</f>
        <v>34</v>
      </c>
      <c r="N185">
        <f>_xlfn.XLOOKUP(tblTags[[#This Row],[Tag]],tblHelpCalc2[Tag],tblHelpCalc2[Calc2ID],"")</f>
        <v>53</v>
      </c>
      <c r="O185" s="2">
        <f>_xlfn.XLOOKUP(_xlfn.XLOOKUP(tblTags[[#This Row],[Tag]],tblDbDrift[Tag],tblDbDrift[Hide Tags]),tblHideTags[HideTag],tblHideTags[ID],"")</f>
        <v>1</v>
      </c>
      <c r="P185" s="2"/>
      <c r="Q185" s="2" t="s">
        <v>751</v>
      </c>
      <c r="R185" s="2"/>
      <c r="S185" s="2"/>
    </row>
    <row r="186" spans="1:19" x14ac:dyDescent="0.2">
      <c r="A186">
        <v>176</v>
      </c>
      <c r="B186">
        <v>176</v>
      </c>
      <c r="C186" t="s">
        <v>419</v>
      </c>
      <c r="D186" t="s">
        <v>111</v>
      </c>
      <c r="E186" t="s">
        <v>111</v>
      </c>
      <c r="F186" cm="1">
        <f t="array" ref="F186">_xlfn.XLOOKUP(_xlfn.XLOOKUP(tblTags[[#This Row],[Tag]],db_drift!$B$2:$B$259,db_drift!$D$2:$D$259),tblInputTypes[[#All],[InputTypeName]],tblInputTypes[[#All],[InputTypeID]],"")</f>
        <v>1</v>
      </c>
      <c r="G186">
        <v>13</v>
      </c>
      <c r="H186">
        <v>3</v>
      </c>
      <c r="I186" t="str">
        <f>_xlfn.XLOOKUP(_xlfn.XLOOKUP(tblTags[[#This Row],[Tag]],db_drift!$B$2:$B$259,db_drift!$A$2:$A$259),tblDepartmentHeadings[DepartmentHeading],tblDepartmentHeadings[DepartmentHeadingID],"")</f>
        <v/>
      </c>
      <c r="J186">
        <v>3</v>
      </c>
      <c r="K186">
        <f>_xlfn.XLOOKUP(_xlfn.XLOOKUP(tblTags[[#This Row],[Tag]],db_drift!$B$2:$B$259,db_drift!$E$2:$E$259),tblFuelTypes[FuelType],tblFuelTypes[FuelTypeID],"")</f>
        <v>1</v>
      </c>
      <c r="L186">
        <f>_xlfn.XLOOKUP(_xlfn.XLOOKUP(tblTags[[#This Row],[Tag]],db_drift!$B$2:$B$259,db_drift!$F$2:$F$259),tblFuelAllocations[FuelAllocation],tblFuelAllocations[FuelAllocationID],"")</f>
        <v>2</v>
      </c>
      <c r="M186">
        <f>_xlfn.XLOOKUP(tblTags[[#This Row],[Tag]],tblHelpCalc1[Tag],tblHelpCalc1[Calc1ID],"")</f>
        <v>35</v>
      </c>
      <c r="N186">
        <f>_xlfn.XLOOKUP(tblTags[[#This Row],[Tag]],tblHelpCalc2[Tag],tblHelpCalc2[Calc2ID],"")</f>
        <v>54</v>
      </c>
      <c r="O186" s="2">
        <f>_xlfn.XLOOKUP(_xlfn.XLOOKUP(tblTags[[#This Row],[Tag]],tblDbDrift[Tag],tblDbDrift[Hide Tags]),tblHideTags[HideTag],tblHideTags[ID],"")</f>
        <v>1</v>
      </c>
      <c r="P186" s="2"/>
      <c r="Q186" s="2" t="s">
        <v>752</v>
      </c>
      <c r="R186" s="2"/>
      <c r="S186" s="2"/>
    </row>
    <row r="187" spans="1:19" x14ac:dyDescent="0.2">
      <c r="A187">
        <v>177</v>
      </c>
      <c r="B187">
        <v>177</v>
      </c>
      <c r="C187" t="s">
        <v>420</v>
      </c>
      <c r="D187" t="s">
        <v>246</v>
      </c>
      <c r="E187" t="s">
        <v>246</v>
      </c>
      <c r="F187" cm="1">
        <f t="array" ref="F187">_xlfn.XLOOKUP(_xlfn.XLOOKUP(tblTags[[#This Row],[Tag]],db_drift!$B$2:$B$259,db_drift!$D$2:$D$259),tblInputTypes[[#All],[InputTypeName]],tblInputTypes[[#All],[InputTypeID]],"")</f>
        <v>1</v>
      </c>
      <c r="G187">
        <v>13</v>
      </c>
      <c r="H187">
        <v>3</v>
      </c>
      <c r="I187" t="str">
        <f>_xlfn.XLOOKUP(_xlfn.XLOOKUP(tblTags[[#This Row],[Tag]],db_drift!$B$2:$B$259,db_drift!$A$2:$A$259),tblDepartmentHeadings[DepartmentHeading],tblDepartmentHeadings[DepartmentHeadingID],"")</f>
        <v/>
      </c>
      <c r="J187">
        <v>9</v>
      </c>
      <c r="K187">
        <f>_xlfn.XLOOKUP(_xlfn.XLOOKUP(tblTags[[#This Row],[Tag]],db_drift!$B$2:$B$259,db_drift!$E$2:$E$259),tblFuelTypes[FuelType],tblFuelTypes[FuelTypeID],"")</f>
        <v>1</v>
      </c>
      <c r="L187">
        <f>_xlfn.XLOOKUP(_xlfn.XLOOKUP(tblTags[[#This Row],[Tag]],db_drift!$B$2:$B$259,db_drift!$F$2:$F$259),tblFuelAllocations[FuelAllocation],tblFuelAllocations[FuelAllocationID],"")</f>
        <v>1</v>
      </c>
      <c r="M187">
        <f>_xlfn.XLOOKUP(tblTags[[#This Row],[Tag]],tblHelpCalc1[Tag],tblHelpCalc1[Calc1ID],"")</f>
        <v>36</v>
      </c>
      <c r="N187">
        <f>_xlfn.XLOOKUP(tblTags[[#This Row],[Tag]],tblHelpCalc2[Tag],tblHelpCalc2[Calc2ID],"")</f>
        <v>55</v>
      </c>
      <c r="O187" s="2">
        <f>_xlfn.XLOOKUP(_xlfn.XLOOKUP(tblTags[[#This Row],[Tag]],tblDbDrift[Tag],tblDbDrift[Hide Tags]),tblHideTags[HideTag],tblHideTags[ID],"")</f>
        <v>1</v>
      </c>
      <c r="P187" s="2"/>
      <c r="Q187" s="2" t="s">
        <v>753</v>
      </c>
      <c r="R187" s="2"/>
      <c r="S187" s="2"/>
    </row>
    <row r="188" spans="1:19" x14ac:dyDescent="0.2">
      <c r="A188">
        <v>178</v>
      </c>
      <c r="B188">
        <v>178</v>
      </c>
      <c r="C188" t="s">
        <v>421</v>
      </c>
      <c r="D188" t="s">
        <v>115</v>
      </c>
      <c r="E188" t="s">
        <v>115</v>
      </c>
      <c r="F188" cm="1">
        <f t="array" ref="F188">_xlfn.XLOOKUP(_xlfn.XLOOKUP(tblTags[[#This Row],[Tag]],db_drift!$B$2:$B$259,db_drift!$D$2:$D$259),tblInputTypes[[#All],[InputTypeName]],tblInputTypes[[#All],[InputTypeID]],"")</f>
        <v>1</v>
      </c>
      <c r="G188">
        <v>13</v>
      </c>
      <c r="H188">
        <v>3</v>
      </c>
      <c r="I188" t="str">
        <f>_xlfn.XLOOKUP(_xlfn.XLOOKUP(tblTags[[#This Row],[Tag]],db_drift!$B$2:$B$259,db_drift!$A$2:$A$259),tblDepartmentHeadings[DepartmentHeading],tblDepartmentHeadings[DepartmentHeadingID],"")</f>
        <v/>
      </c>
      <c r="J188">
        <v>1</v>
      </c>
      <c r="K188">
        <f>_xlfn.XLOOKUP(_xlfn.XLOOKUP(tblTags[[#This Row],[Tag]],db_drift!$B$2:$B$259,db_drift!$E$2:$E$259),tblFuelTypes[FuelType],tblFuelTypes[FuelTypeID],"")</f>
        <v>2</v>
      </c>
      <c r="L188">
        <f>_xlfn.XLOOKUP(_xlfn.XLOOKUP(tblTags[[#This Row],[Tag]],db_drift!$B$2:$B$259,db_drift!$F$2:$F$259),tblFuelAllocations[FuelAllocation],tblFuelAllocations[FuelAllocationID],"")</f>
        <v>2</v>
      </c>
      <c r="M188">
        <f>_xlfn.XLOOKUP(tblTags[[#This Row],[Tag]],tblHelpCalc1[Tag],tblHelpCalc1[Calc1ID],"")</f>
        <v>37</v>
      </c>
      <c r="N188">
        <f>_xlfn.XLOOKUP(tblTags[[#This Row],[Tag]],tblHelpCalc2[Tag],tblHelpCalc2[Calc2ID],"")</f>
        <v>56</v>
      </c>
      <c r="O188" s="2">
        <f>_xlfn.XLOOKUP(_xlfn.XLOOKUP(tblTags[[#This Row],[Tag]],tblDbDrift[Tag],tblDbDrift[Hide Tags]),tblHideTags[HideTag],tblHideTags[ID],"")</f>
        <v>1</v>
      </c>
      <c r="P188" s="2"/>
      <c r="Q188" s="2" t="s">
        <v>754</v>
      </c>
      <c r="R188" s="2"/>
      <c r="S188" s="2"/>
    </row>
    <row r="189" spans="1:19" x14ac:dyDescent="0.2">
      <c r="A189">
        <v>179</v>
      </c>
      <c r="B189">
        <v>179</v>
      </c>
      <c r="C189" t="s">
        <v>422</v>
      </c>
      <c r="D189" t="s">
        <v>117</v>
      </c>
      <c r="E189" t="s">
        <v>117</v>
      </c>
      <c r="F189" cm="1">
        <f t="array" ref="F189">_xlfn.XLOOKUP(_xlfn.XLOOKUP(tblTags[[#This Row],[Tag]],db_drift!$B$2:$B$259,db_drift!$D$2:$D$259),tblInputTypes[[#All],[InputTypeName]],tblInputTypes[[#All],[InputTypeID]],"")</f>
        <v>1</v>
      </c>
      <c r="G189">
        <v>13</v>
      </c>
      <c r="H189">
        <v>3</v>
      </c>
      <c r="I189" t="str">
        <f>_xlfn.XLOOKUP(_xlfn.XLOOKUP(tblTags[[#This Row],[Tag]],db_drift!$B$2:$B$259,db_drift!$A$2:$A$259),tblDepartmentHeadings[DepartmentHeading],tblDepartmentHeadings[DepartmentHeadingID],"")</f>
        <v/>
      </c>
      <c r="J189">
        <v>8</v>
      </c>
      <c r="K189">
        <f>_xlfn.XLOOKUP(_xlfn.XLOOKUP(tblTags[[#This Row],[Tag]],db_drift!$B$2:$B$259,db_drift!$E$2:$E$259),tblFuelTypes[FuelType],tblFuelTypes[FuelTypeID],"")</f>
        <v>2</v>
      </c>
      <c r="L189">
        <f>_xlfn.XLOOKUP(_xlfn.XLOOKUP(tblTags[[#This Row],[Tag]],db_drift!$B$2:$B$259,db_drift!$F$2:$F$259),tblFuelAllocations[FuelAllocation],tblFuelAllocations[FuelAllocationID],"")</f>
        <v>2</v>
      </c>
      <c r="M189">
        <f>_xlfn.XLOOKUP(tblTags[[#This Row],[Tag]],tblHelpCalc1[Tag],tblHelpCalc1[Calc1ID],"")</f>
        <v>38</v>
      </c>
      <c r="N189">
        <f>_xlfn.XLOOKUP(tblTags[[#This Row],[Tag]],tblHelpCalc2[Tag],tblHelpCalc2[Calc2ID],"")</f>
        <v>57</v>
      </c>
      <c r="O189" s="2">
        <f>_xlfn.XLOOKUP(_xlfn.XLOOKUP(tblTags[[#This Row],[Tag]],tblDbDrift[Tag],tblDbDrift[Hide Tags]),tblHideTags[HideTag],tblHideTags[ID],"")</f>
        <v>1</v>
      </c>
      <c r="P189" s="2"/>
      <c r="Q189" s="2" t="s">
        <v>755</v>
      </c>
      <c r="R189" s="2"/>
      <c r="S189" s="2"/>
    </row>
    <row r="190" spans="1:19" x14ac:dyDescent="0.2">
      <c r="A190">
        <v>180</v>
      </c>
      <c r="B190">
        <v>180</v>
      </c>
      <c r="C190" t="s">
        <v>423</v>
      </c>
      <c r="D190" t="s">
        <v>250</v>
      </c>
      <c r="E190" t="s">
        <v>250</v>
      </c>
      <c r="F190" cm="1">
        <f t="array" ref="F190">_xlfn.XLOOKUP(_xlfn.XLOOKUP(tblTags[[#This Row],[Tag]],db_drift!$B$2:$B$259,db_drift!$D$2:$D$259),tblInputTypes[[#All],[InputTypeName]],tblInputTypes[[#All],[InputTypeID]],"")</f>
        <v>1</v>
      </c>
      <c r="G190">
        <v>13</v>
      </c>
      <c r="H190">
        <v>3</v>
      </c>
      <c r="I190" t="str">
        <f>_xlfn.XLOOKUP(_xlfn.XLOOKUP(tblTags[[#This Row],[Tag]],db_drift!$B$2:$B$259,db_drift!$A$2:$A$259),tblDepartmentHeadings[DepartmentHeading],tblDepartmentHeadings[DepartmentHeadingID],"")</f>
        <v/>
      </c>
      <c r="J190">
        <v>6</v>
      </c>
      <c r="K190">
        <f>_xlfn.XLOOKUP(_xlfn.XLOOKUP(tblTags[[#This Row],[Tag]],db_drift!$B$2:$B$259,db_drift!$E$2:$E$259),tblFuelTypes[FuelType],tblFuelTypes[FuelTypeID],"")</f>
        <v>2</v>
      </c>
      <c r="L190">
        <f>_xlfn.XLOOKUP(_xlfn.XLOOKUP(tblTags[[#This Row],[Tag]],db_drift!$B$2:$B$259,db_drift!$F$2:$F$259),tblFuelAllocations[FuelAllocation],tblFuelAllocations[FuelAllocationID],"")</f>
        <v>2</v>
      </c>
      <c r="M190">
        <f>_xlfn.XLOOKUP(tblTags[[#This Row],[Tag]],tblHelpCalc1[Tag],tblHelpCalc1[Calc1ID],"")</f>
        <v>39</v>
      </c>
      <c r="N190">
        <f>_xlfn.XLOOKUP(tblTags[[#This Row],[Tag]],tblHelpCalc2[Tag],tblHelpCalc2[Calc2ID],"")</f>
        <v>58</v>
      </c>
      <c r="O190" s="2">
        <f>_xlfn.XLOOKUP(_xlfn.XLOOKUP(tblTags[[#This Row],[Tag]],tblDbDrift[Tag],tblDbDrift[Hide Tags]),tblHideTags[HideTag],tblHideTags[ID],"")</f>
        <v>1</v>
      </c>
      <c r="P190" s="2"/>
      <c r="Q190" s="2" t="s">
        <v>756</v>
      </c>
      <c r="R190" s="2"/>
      <c r="S190" s="2"/>
    </row>
    <row r="191" spans="1:19" x14ac:dyDescent="0.2">
      <c r="A191">
        <v>181</v>
      </c>
      <c r="B191">
        <v>181</v>
      </c>
      <c r="C191" t="s">
        <v>424</v>
      </c>
      <c r="D191" t="s">
        <v>121</v>
      </c>
      <c r="E191" t="s">
        <v>121</v>
      </c>
      <c r="F191" cm="1">
        <f t="array" ref="F191">_xlfn.XLOOKUP(_xlfn.XLOOKUP(tblTags[[#This Row],[Tag]],db_drift!$B$2:$B$259,db_drift!$D$2:$D$259),tblInputTypes[[#All],[InputTypeName]],tblInputTypes[[#All],[InputTypeID]],"")</f>
        <v>1</v>
      </c>
      <c r="G191">
        <v>13</v>
      </c>
      <c r="H191">
        <v>3</v>
      </c>
      <c r="I191" t="str">
        <f>_xlfn.XLOOKUP(_xlfn.XLOOKUP(tblTags[[#This Row],[Tag]],db_drift!$B$2:$B$259,db_drift!$A$2:$A$259),tblDepartmentHeadings[DepartmentHeading],tblDepartmentHeadings[DepartmentHeadingID],"")</f>
        <v/>
      </c>
      <c r="J191">
        <v>1</v>
      </c>
      <c r="K191">
        <f>_xlfn.XLOOKUP(_xlfn.XLOOKUP(tblTags[[#This Row],[Tag]],db_drift!$B$2:$B$259,db_drift!$E$2:$E$259),tblFuelTypes[FuelType],tblFuelTypes[FuelTypeID],"")</f>
        <v>2</v>
      </c>
      <c r="L191">
        <f>_xlfn.XLOOKUP(_xlfn.XLOOKUP(tblTags[[#This Row],[Tag]],db_drift!$B$2:$B$259,db_drift!$F$2:$F$259),tblFuelAllocations[FuelAllocation],tblFuelAllocations[FuelAllocationID],"")</f>
        <v>2</v>
      </c>
      <c r="M191">
        <f>_xlfn.XLOOKUP(tblTags[[#This Row],[Tag]],tblHelpCalc1[Tag],tblHelpCalc1[Calc1ID],"")</f>
        <v>40</v>
      </c>
      <c r="N191">
        <f>_xlfn.XLOOKUP(tblTags[[#This Row],[Tag]],tblHelpCalc2[Tag],tblHelpCalc2[Calc2ID],"")</f>
        <v>59</v>
      </c>
      <c r="O191" s="2">
        <f>_xlfn.XLOOKUP(_xlfn.XLOOKUP(tblTags[[#This Row],[Tag]],tblDbDrift[Tag],tblDbDrift[Hide Tags]),tblHideTags[HideTag],tblHideTags[ID],"")</f>
        <v>1</v>
      </c>
      <c r="P191" s="2"/>
      <c r="Q191" s="2" t="s">
        <v>757</v>
      </c>
      <c r="R191" s="2"/>
      <c r="S191" s="2"/>
    </row>
    <row r="192" spans="1:19" x14ac:dyDescent="0.2">
      <c r="A192">
        <v>182</v>
      </c>
      <c r="B192">
        <v>182</v>
      </c>
      <c r="C192" t="s">
        <v>425</v>
      </c>
      <c r="D192" t="s">
        <v>123</v>
      </c>
      <c r="E192" t="s">
        <v>123</v>
      </c>
      <c r="F192" cm="1">
        <f t="array" ref="F192">_xlfn.XLOOKUP(_xlfn.XLOOKUP(tblTags[[#This Row],[Tag]],db_drift!$B$2:$B$259,db_drift!$D$2:$D$259),tblInputTypes[[#All],[InputTypeName]],tblInputTypes[[#All],[InputTypeID]],"")</f>
        <v>1</v>
      </c>
      <c r="G192">
        <v>13</v>
      </c>
      <c r="H192">
        <v>3</v>
      </c>
      <c r="I192" t="str">
        <f>_xlfn.XLOOKUP(_xlfn.XLOOKUP(tblTags[[#This Row],[Tag]],db_drift!$B$2:$B$259,db_drift!$A$2:$A$259),tblDepartmentHeadings[DepartmentHeading],tblDepartmentHeadings[DepartmentHeadingID],"")</f>
        <v/>
      </c>
      <c r="J192">
        <v>1</v>
      </c>
      <c r="K192">
        <f>_xlfn.XLOOKUP(_xlfn.XLOOKUP(tblTags[[#This Row],[Tag]],db_drift!$B$2:$B$259,db_drift!$E$2:$E$259),tblFuelTypes[FuelType],tblFuelTypes[FuelTypeID],"")</f>
        <v>2</v>
      </c>
      <c r="L192">
        <f>_xlfn.XLOOKUP(_xlfn.XLOOKUP(tblTags[[#This Row],[Tag]],db_drift!$B$2:$B$259,db_drift!$F$2:$F$259),tblFuelAllocations[FuelAllocation],tblFuelAllocations[FuelAllocationID],"")</f>
        <v>2</v>
      </c>
      <c r="M192">
        <f>_xlfn.XLOOKUP(tblTags[[#This Row],[Tag]],tblHelpCalc1[Tag],tblHelpCalc1[Calc1ID],"")</f>
        <v>41</v>
      </c>
      <c r="N192">
        <f>_xlfn.XLOOKUP(tblTags[[#This Row],[Tag]],tblHelpCalc2[Tag],tblHelpCalc2[Calc2ID],"")</f>
        <v>60</v>
      </c>
      <c r="O192" s="2">
        <f>_xlfn.XLOOKUP(_xlfn.XLOOKUP(tblTags[[#This Row],[Tag]],tblDbDrift[Tag],tblDbDrift[Hide Tags]),tblHideTags[HideTag],tblHideTags[ID],"")</f>
        <v>1</v>
      </c>
      <c r="P192" s="2"/>
      <c r="Q192" s="2" t="s">
        <v>758</v>
      </c>
      <c r="R192" s="2"/>
      <c r="S192" s="2"/>
    </row>
    <row r="193" spans="1:19" x14ac:dyDescent="0.2">
      <c r="A193">
        <v>183</v>
      </c>
      <c r="B193">
        <v>183</v>
      </c>
      <c r="C193" t="s">
        <v>426</v>
      </c>
      <c r="D193" t="s">
        <v>125</v>
      </c>
      <c r="E193" t="s">
        <v>125</v>
      </c>
      <c r="F193" cm="1">
        <f t="array" ref="F193">_xlfn.XLOOKUP(_xlfn.XLOOKUP(tblTags[[#This Row],[Tag]],db_drift!$B$2:$B$259,db_drift!$D$2:$D$259),tblInputTypes[[#All],[InputTypeName]],tblInputTypes[[#All],[InputTypeID]],"")</f>
        <v>1</v>
      </c>
      <c r="G193">
        <v>13</v>
      </c>
      <c r="H193">
        <v>3</v>
      </c>
      <c r="I193" t="str">
        <f>_xlfn.XLOOKUP(_xlfn.XLOOKUP(tblTags[[#This Row],[Tag]],db_drift!$B$2:$B$259,db_drift!$A$2:$A$259),tblDepartmentHeadings[DepartmentHeading],tblDepartmentHeadings[DepartmentHeadingID],"")</f>
        <v/>
      </c>
      <c r="J193">
        <v>1</v>
      </c>
      <c r="K193" t="str">
        <f>_xlfn.XLOOKUP(_xlfn.XLOOKUP(tblTags[[#This Row],[Tag]],db_drift!$B$2:$B$259,db_drift!$E$2:$E$259),tblFuelTypes[FuelType],tblFuelTypes[FuelTypeID],"")</f>
        <v/>
      </c>
      <c r="L193">
        <f>_xlfn.XLOOKUP(_xlfn.XLOOKUP(tblTags[[#This Row],[Tag]],db_drift!$B$2:$B$259,db_drift!$F$2:$F$259),tblFuelAllocations[FuelAllocation],tblFuelAllocations[FuelAllocationID],"")</f>
        <v>1</v>
      </c>
      <c r="M193">
        <f>_xlfn.XLOOKUP(tblTags[[#This Row],[Tag]],tblHelpCalc1[Tag],tblHelpCalc1[Calc1ID],"")</f>
        <v>42</v>
      </c>
      <c r="N193">
        <f>_xlfn.XLOOKUP(tblTags[[#This Row],[Tag]],tblHelpCalc2[Tag],tblHelpCalc2[Calc2ID],"")</f>
        <v>61</v>
      </c>
      <c r="O193" s="2">
        <f>_xlfn.XLOOKUP(_xlfn.XLOOKUP(tblTags[[#This Row],[Tag]],tblDbDrift[Tag],tblDbDrift[Hide Tags]),tblHideTags[HideTag],tblHideTags[ID],"")</f>
        <v>1</v>
      </c>
      <c r="P193" s="2"/>
      <c r="Q193" s="2" t="s">
        <v>759</v>
      </c>
      <c r="R193" s="2"/>
      <c r="S193" s="2"/>
    </row>
    <row r="194" spans="1:19" x14ac:dyDescent="0.2">
      <c r="A194">
        <v>184</v>
      </c>
      <c r="B194">
        <v>184</v>
      </c>
      <c r="C194" t="s">
        <v>427</v>
      </c>
      <c r="D194" t="s">
        <v>255</v>
      </c>
      <c r="E194" t="s">
        <v>255</v>
      </c>
      <c r="F194" cm="1">
        <f t="array" ref="F194">_xlfn.XLOOKUP(_xlfn.XLOOKUP(tblTags[[#This Row],[Tag]],db_drift!$B$2:$B$259,db_drift!$D$2:$D$259),tblInputTypes[[#All],[InputTypeName]],tblInputTypes[[#All],[InputTypeID]],"")</f>
        <v>1</v>
      </c>
      <c r="G194">
        <v>13</v>
      </c>
      <c r="H194">
        <v>3</v>
      </c>
      <c r="I194" t="str">
        <f>_xlfn.XLOOKUP(_xlfn.XLOOKUP(tblTags[[#This Row],[Tag]],db_drift!$B$2:$B$259,db_drift!$A$2:$A$259),tblDepartmentHeadings[DepartmentHeading],tblDepartmentHeadings[DepartmentHeadingID],"")</f>
        <v/>
      </c>
      <c r="J194">
        <v>1</v>
      </c>
      <c r="K194">
        <f>_xlfn.XLOOKUP(_xlfn.XLOOKUP(tblTags[[#This Row],[Tag]],db_drift!$B$2:$B$259,db_drift!$E$2:$E$259),tblFuelTypes[FuelType],tblFuelTypes[FuelTypeID],"")</f>
        <v>2</v>
      </c>
      <c r="L194">
        <f>_xlfn.XLOOKUP(_xlfn.XLOOKUP(tblTags[[#This Row],[Tag]],db_drift!$B$2:$B$259,db_drift!$F$2:$F$259),tblFuelAllocations[FuelAllocation],tblFuelAllocations[FuelAllocationID],"")</f>
        <v>2</v>
      </c>
      <c r="M194">
        <f>_xlfn.XLOOKUP(tblTags[[#This Row],[Tag]],tblHelpCalc1[Tag],tblHelpCalc1[Calc1ID],"")</f>
        <v>43</v>
      </c>
      <c r="N194">
        <f>_xlfn.XLOOKUP(tblTags[[#This Row],[Tag]],tblHelpCalc2[Tag],tblHelpCalc2[Calc2ID],"")</f>
        <v>62</v>
      </c>
      <c r="O194" s="2">
        <f>_xlfn.XLOOKUP(_xlfn.XLOOKUP(tblTags[[#This Row],[Tag]],tblDbDrift[Tag],tblDbDrift[Hide Tags]),tblHideTags[HideTag],tblHideTags[ID],"")</f>
        <v>1</v>
      </c>
      <c r="P194" s="2"/>
      <c r="Q194" s="2" t="s">
        <v>760</v>
      </c>
      <c r="R194" s="2"/>
      <c r="S194" s="2"/>
    </row>
    <row r="195" spans="1:19" x14ac:dyDescent="0.2">
      <c r="A195">
        <v>185</v>
      </c>
      <c r="B195">
        <v>185</v>
      </c>
      <c r="C195" t="s">
        <v>428</v>
      </c>
      <c r="D195" t="s">
        <v>257</v>
      </c>
      <c r="E195" t="s">
        <v>257</v>
      </c>
      <c r="F195" cm="1">
        <f t="array" ref="F195">_xlfn.XLOOKUP(_xlfn.XLOOKUP(tblTags[[#This Row],[Tag]],db_drift!$B$2:$B$259,db_drift!$D$2:$D$259),tblInputTypes[[#All],[InputTypeName]],tblInputTypes[[#All],[InputTypeID]],"")</f>
        <v>1</v>
      </c>
      <c r="G195">
        <v>13</v>
      </c>
      <c r="H195">
        <v>3</v>
      </c>
      <c r="I195" t="str">
        <f>_xlfn.XLOOKUP(_xlfn.XLOOKUP(tblTags[[#This Row],[Tag]],db_drift!$B$2:$B$259,db_drift!$A$2:$A$259),tblDepartmentHeadings[DepartmentHeading],tblDepartmentHeadings[DepartmentHeadingID],"")</f>
        <v/>
      </c>
      <c r="J195">
        <v>1</v>
      </c>
      <c r="K195">
        <f>_xlfn.XLOOKUP(_xlfn.XLOOKUP(tblTags[[#This Row],[Tag]],db_drift!$B$2:$B$259,db_drift!$E$2:$E$259),tblFuelTypes[FuelType],tblFuelTypes[FuelTypeID],"")</f>
        <v>2</v>
      </c>
      <c r="L195">
        <f>_xlfn.XLOOKUP(_xlfn.XLOOKUP(tblTags[[#This Row],[Tag]],db_drift!$B$2:$B$259,db_drift!$F$2:$F$259),tblFuelAllocations[FuelAllocation],tblFuelAllocations[FuelAllocationID],"")</f>
        <v>1</v>
      </c>
      <c r="M195">
        <f>_xlfn.XLOOKUP(tblTags[[#This Row],[Tag]],tblHelpCalc1[Tag],tblHelpCalc1[Calc1ID],"")</f>
        <v>44</v>
      </c>
      <c r="N195">
        <f>_xlfn.XLOOKUP(tblTags[[#This Row],[Tag]],tblHelpCalc2[Tag],tblHelpCalc2[Calc2ID],"")</f>
        <v>63</v>
      </c>
      <c r="O195" s="2">
        <f>_xlfn.XLOOKUP(_xlfn.XLOOKUP(tblTags[[#This Row],[Tag]],tblDbDrift[Tag],tblDbDrift[Hide Tags]),tblHideTags[HideTag],tblHideTags[ID],"")</f>
        <v>1</v>
      </c>
      <c r="P195" s="2"/>
      <c r="Q195" s="2" t="s">
        <v>761</v>
      </c>
      <c r="R195" s="2"/>
      <c r="S195" s="2"/>
    </row>
    <row r="196" spans="1:19" x14ac:dyDescent="0.2">
      <c r="A196">
        <v>186</v>
      </c>
      <c r="B196">
        <v>186</v>
      </c>
      <c r="C196" t="s">
        <v>7</v>
      </c>
      <c r="F196" t="str" cm="1">
        <f t="array" ref="F196">_xlfn.XLOOKUP(_xlfn.XLOOKUP(tblTags[[#This Row],[Tag]],db_drift!$B$2:$B$259,db_drift!$D$2:$D$259),tblInputTypes[[#All],[InputTypeName]],tblInputTypes[[#All],[InputTypeID]],"")</f>
        <v/>
      </c>
      <c r="H196">
        <v>3</v>
      </c>
      <c r="I196" t="str">
        <f>_xlfn.XLOOKUP(_xlfn.XLOOKUP(tblTags[[#This Row],[Tag]],db_drift!$B$2:$B$259,db_drift!$A$2:$A$259),tblDepartmentHeadings[DepartmentHeading],tblDepartmentHeadings[DepartmentHeadingID],"")</f>
        <v/>
      </c>
      <c r="J196">
        <v>1</v>
      </c>
      <c r="K196" t="str">
        <f>_xlfn.XLOOKUP(_xlfn.XLOOKUP(tblTags[[#This Row],[Tag]],db_drift!$B$2:$B$259,db_drift!$E$2:$E$259),tblFuelTypes[FuelType],tblFuelTypes[FuelTypeID],"")</f>
        <v/>
      </c>
      <c r="L196" t="str">
        <f>_xlfn.XLOOKUP(_xlfn.XLOOKUP(tblTags[[#This Row],[Tag]],db_drift!$B$2:$B$259,db_drift!$F$2:$F$259),tblFuelAllocations[FuelAllocation],tblFuelAllocations[FuelAllocationID],"")</f>
        <v/>
      </c>
      <c r="M196" t="str">
        <f>_xlfn.XLOOKUP(tblTags[[#This Row],[Tag]],tblHelpCalc1[Tag],tblHelpCalc1[Calc1ID],"")</f>
        <v/>
      </c>
      <c r="N196" t="str">
        <f>_xlfn.XLOOKUP(tblTags[[#This Row],[Tag]],tblHelpCalc2[Tag],tblHelpCalc2[Calc2ID],"")</f>
        <v/>
      </c>
      <c r="O196" s="2">
        <f>_xlfn.XLOOKUP(_xlfn.XLOOKUP(tblTags[[#This Row],[Tag]],tblDbDrift[Tag],tblDbDrift[Hide Tags]),tblHideTags[HideTag],tblHideTags[ID],"")</f>
        <v>1</v>
      </c>
      <c r="P196" s="2"/>
      <c r="Q196" s="2" t="s">
        <v>762</v>
      </c>
      <c r="R196" s="2"/>
      <c r="S196" s="2"/>
    </row>
    <row r="197" spans="1:19" x14ac:dyDescent="0.2">
      <c r="A197">
        <v>187</v>
      </c>
      <c r="B197">
        <v>187</v>
      </c>
      <c r="C197" t="s">
        <v>258</v>
      </c>
      <c r="D197" t="s">
        <v>259</v>
      </c>
      <c r="E197" t="s">
        <v>259</v>
      </c>
      <c r="F197" cm="1">
        <f t="array" ref="F197">_xlfn.XLOOKUP(_xlfn.XLOOKUP(tblTags[[#This Row],[Tag]],db_drift!$B$2:$B$259,db_drift!$D$2:$D$259),tblInputTypes[[#All],[InputTypeName]],tblInputTypes[[#All],[InputTypeID]],"")</f>
        <v>4</v>
      </c>
      <c r="G197">
        <v>14</v>
      </c>
      <c r="H197">
        <v>3</v>
      </c>
      <c r="I197">
        <f>_xlfn.XLOOKUP(_xlfn.XLOOKUP(tblTags[[#This Row],[Tag]],db_drift!$B$2:$B$259,db_drift!$A$2:$A$259),tblDepartmentHeadings[DepartmentHeading],tblDepartmentHeadings[DepartmentHeadingID],"")</f>
        <v>14</v>
      </c>
      <c r="J197">
        <v>1</v>
      </c>
      <c r="K197" t="str">
        <f>_xlfn.XLOOKUP(_xlfn.XLOOKUP(tblTags[[#This Row],[Tag]],db_drift!$B$2:$B$259,db_drift!$E$2:$E$259),tblFuelTypes[FuelType],tblFuelTypes[FuelTypeID],"")</f>
        <v/>
      </c>
      <c r="L197" t="str">
        <f>_xlfn.XLOOKUP(_xlfn.XLOOKUP(tblTags[[#This Row],[Tag]],db_drift!$B$2:$B$259,db_drift!$F$2:$F$259),tblFuelAllocations[FuelAllocation],tblFuelAllocations[FuelAllocationID],"")</f>
        <v/>
      </c>
      <c r="M197">
        <f>_xlfn.XLOOKUP(tblTags[[#This Row],[Tag]],tblHelpCalc1[Tag],tblHelpCalc1[Calc1ID],"")</f>
        <v>45</v>
      </c>
      <c r="N197" t="str">
        <f>_xlfn.XLOOKUP(tblTags[[#This Row],[Tag]],tblHelpCalc2[Tag],tblHelpCalc2[Calc2ID],"")</f>
        <v/>
      </c>
      <c r="O197" s="2" t="str">
        <f>_xlfn.XLOOKUP(_xlfn.XLOOKUP(tblTags[[#This Row],[Tag]],tblDbDrift[Tag],tblDbDrift[Hide Tags]),tblHideTags[HideTag],tblHideTags[ID],"")</f>
        <v/>
      </c>
      <c r="P197" s="2"/>
      <c r="Q197" s="2" t="s">
        <v>763</v>
      </c>
      <c r="R197" s="2"/>
      <c r="S197" s="2"/>
    </row>
    <row r="198" spans="1:19" x14ac:dyDescent="0.2">
      <c r="A198">
        <v>188</v>
      </c>
      <c r="B198">
        <v>188</v>
      </c>
      <c r="C198" t="s">
        <v>260</v>
      </c>
      <c r="D198" t="s">
        <v>261</v>
      </c>
      <c r="E198" t="s">
        <v>261</v>
      </c>
      <c r="F198" cm="1">
        <f t="array" ref="F198">_xlfn.XLOOKUP(_xlfn.XLOOKUP(tblTags[[#This Row],[Tag]],db_drift!$B$2:$B$259,db_drift!$D$2:$D$259),tblInputTypes[[#All],[InputTypeName]],tblInputTypes[[#All],[InputTypeID]],"")</f>
        <v>4</v>
      </c>
      <c r="G198">
        <v>14</v>
      </c>
      <c r="H198">
        <v>4</v>
      </c>
      <c r="I198" t="str">
        <f>_xlfn.XLOOKUP(_xlfn.XLOOKUP(tblTags[[#This Row],[Tag]],db_drift!$B$2:$B$259,db_drift!$A$2:$A$259),tblDepartmentHeadings[DepartmentHeading],tblDepartmentHeadings[DepartmentHeadingID],"")</f>
        <v/>
      </c>
      <c r="K198" t="str">
        <f>_xlfn.XLOOKUP(_xlfn.XLOOKUP(tblTags[[#This Row],[Tag]],db_drift!$B$2:$B$259,db_drift!$E$2:$E$259),tblFuelTypes[FuelType],tblFuelTypes[FuelTypeID],"")</f>
        <v/>
      </c>
      <c r="L198" t="str">
        <f>_xlfn.XLOOKUP(_xlfn.XLOOKUP(tblTags[[#This Row],[Tag]],db_drift!$B$2:$B$259,db_drift!$F$2:$F$259),tblFuelAllocations[FuelAllocation],tblFuelAllocations[FuelAllocationID],"")</f>
        <v/>
      </c>
      <c r="M198">
        <f>_xlfn.XLOOKUP(tblTags[[#This Row],[Tag]],tblHelpCalc1[Tag],tblHelpCalc1[Calc1ID],"")</f>
        <v>46</v>
      </c>
      <c r="N198" t="str">
        <f>_xlfn.XLOOKUP(tblTags[[#This Row],[Tag]],tblHelpCalc2[Tag],tblHelpCalc2[Calc2ID],"")</f>
        <v/>
      </c>
      <c r="O198" s="2" t="str">
        <f>_xlfn.XLOOKUP(_xlfn.XLOOKUP(tblTags[[#This Row],[Tag]],tblDbDrift[Tag],tblDbDrift[Hide Tags]),tblHideTags[HideTag],tblHideTags[ID],"")</f>
        <v/>
      </c>
      <c r="P198" s="2"/>
      <c r="Q198" s="2" t="s">
        <v>764</v>
      </c>
      <c r="R198" s="2"/>
      <c r="S198" s="2"/>
    </row>
    <row r="199" spans="1:19" x14ac:dyDescent="0.2">
      <c r="A199">
        <v>189</v>
      </c>
      <c r="B199">
        <v>189</v>
      </c>
      <c r="C199" t="s">
        <v>262</v>
      </c>
      <c r="D199" t="s">
        <v>263</v>
      </c>
      <c r="E199" t="s">
        <v>263</v>
      </c>
      <c r="F199" cm="1">
        <f t="array" ref="F199">_xlfn.XLOOKUP(_xlfn.XLOOKUP(tblTags[[#This Row],[Tag]],db_drift!$B$2:$B$259,db_drift!$D$2:$D$259),tblInputTypes[[#All],[InputTypeName]],tblInputTypes[[#All],[InputTypeID]],"")</f>
        <v>4</v>
      </c>
      <c r="G199">
        <v>14</v>
      </c>
      <c r="H199">
        <v>4</v>
      </c>
      <c r="I199" t="str">
        <f>_xlfn.XLOOKUP(_xlfn.XLOOKUP(tblTags[[#This Row],[Tag]],db_drift!$B$2:$B$259,db_drift!$A$2:$A$259),tblDepartmentHeadings[DepartmentHeading],tblDepartmentHeadings[DepartmentHeadingID],"")</f>
        <v/>
      </c>
      <c r="J199">
        <v>3</v>
      </c>
      <c r="K199" t="str">
        <f>_xlfn.XLOOKUP(_xlfn.XLOOKUP(tblTags[[#This Row],[Tag]],db_drift!$B$2:$B$259,db_drift!$E$2:$E$259),tblFuelTypes[FuelType],tblFuelTypes[FuelTypeID],"")</f>
        <v/>
      </c>
      <c r="L199" t="str">
        <f>_xlfn.XLOOKUP(_xlfn.XLOOKUP(tblTags[[#This Row],[Tag]],db_drift!$B$2:$B$259,db_drift!$F$2:$F$259),tblFuelAllocations[FuelAllocation],tblFuelAllocations[FuelAllocationID],"")</f>
        <v/>
      </c>
      <c r="M199" t="str">
        <f>_xlfn.XLOOKUP(tblTags[[#This Row],[Tag]],tblHelpCalc1[Tag],tblHelpCalc1[Calc1ID],"")</f>
        <v/>
      </c>
      <c r="N199" t="str">
        <f>_xlfn.XLOOKUP(tblTags[[#This Row],[Tag]],tblHelpCalc2[Tag],tblHelpCalc2[Calc2ID],"")</f>
        <v/>
      </c>
      <c r="O199" s="2" t="str">
        <f>_xlfn.XLOOKUP(_xlfn.XLOOKUP(tblTags[[#This Row],[Tag]],tblDbDrift[Tag],tblDbDrift[Hide Tags]),tblHideTags[HideTag],tblHideTags[ID],"")</f>
        <v/>
      </c>
      <c r="P199" s="2"/>
      <c r="Q199" s="2" t="s">
        <v>765</v>
      </c>
      <c r="R199" s="2"/>
      <c r="S199" s="2"/>
    </row>
    <row r="200" spans="1:19" x14ac:dyDescent="0.2">
      <c r="A200">
        <v>190</v>
      </c>
      <c r="B200">
        <v>190</v>
      </c>
      <c r="C200" t="s">
        <v>264</v>
      </c>
      <c r="D200" t="s">
        <v>265</v>
      </c>
      <c r="E200" t="s">
        <v>265</v>
      </c>
      <c r="F200" cm="1">
        <f t="array" ref="F200">_xlfn.XLOOKUP(_xlfn.XLOOKUP(tblTags[[#This Row],[Tag]],db_drift!$B$2:$B$259,db_drift!$D$2:$D$259),tblInputTypes[[#All],[InputTypeName]],tblInputTypes[[#All],[InputTypeID]],"")</f>
        <v>4</v>
      </c>
      <c r="G200">
        <v>14</v>
      </c>
      <c r="H200">
        <v>4</v>
      </c>
      <c r="I200" t="str">
        <f>_xlfn.XLOOKUP(_xlfn.XLOOKUP(tblTags[[#This Row],[Tag]],db_drift!$B$2:$B$259,db_drift!$A$2:$A$259),tblDepartmentHeadings[DepartmentHeading],tblDepartmentHeadings[DepartmentHeadingID],"")</f>
        <v/>
      </c>
      <c r="J200">
        <v>9</v>
      </c>
      <c r="K200" t="str">
        <f>_xlfn.XLOOKUP(_xlfn.XLOOKUP(tblTags[[#This Row],[Tag]],db_drift!$B$2:$B$259,db_drift!$E$2:$E$259),tblFuelTypes[FuelType],tblFuelTypes[FuelTypeID],"")</f>
        <v/>
      </c>
      <c r="L200" t="str">
        <f>_xlfn.XLOOKUP(_xlfn.XLOOKUP(tblTags[[#This Row],[Tag]],db_drift!$B$2:$B$259,db_drift!$F$2:$F$259),tblFuelAllocations[FuelAllocation],tblFuelAllocations[FuelAllocationID],"")</f>
        <v/>
      </c>
      <c r="M200" t="str">
        <f>_xlfn.XLOOKUP(tblTags[[#This Row],[Tag]],tblHelpCalc1[Tag],tblHelpCalc1[Calc1ID],"")</f>
        <v/>
      </c>
      <c r="N200" t="str">
        <f>_xlfn.XLOOKUP(tblTags[[#This Row],[Tag]],tblHelpCalc2[Tag],tblHelpCalc2[Calc2ID],"")</f>
        <v/>
      </c>
      <c r="O200" s="2" t="str">
        <f>_xlfn.XLOOKUP(_xlfn.XLOOKUP(tblTags[[#This Row],[Tag]],tblDbDrift[Tag],tblDbDrift[Hide Tags]),tblHideTags[HideTag],tblHideTags[ID],"")</f>
        <v/>
      </c>
      <c r="P200" s="2"/>
      <c r="Q200" s="2" t="s">
        <v>766</v>
      </c>
      <c r="R200" s="2"/>
      <c r="S200" s="2"/>
    </row>
    <row r="201" spans="1:19" x14ac:dyDescent="0.2">
      <c r="A201">
        <v>191</v>
      </c>
      <c r="B201">
        <v>191</v>
      </c>
      <c r="C201" t="s">
        <v>266</v>
      </c>
      <c r="D201" t="s">
        <v>267</v>
      </c>
      <c r="E201" t="s">
        <v>267</v>
      </c>
      <c r="F201" cm="1">
        <f t="array" ref="F201">_xlfn.XLOOKUP(_xlfn.XLOOKUP(tblTags[[#This Row],[Tag]],db_drift!$B$2:$B$259,db_drift!$D$2:$D$259),tblInputTypes[[#All],[InputTypeName]],tblInputTypes[[#All],[InputTypeID]],"")</f>
        <v>4</v>
      </c>
      <c r="G201">
        <v>14</v>
      </c>
      <c r="H201">
        <v>4</v>
      </c>
      <c r="I201" t="str">
        <f>_xlfn.XLOOKUP(_xlfn.XLOOKUP(tblTags[[#This Row],[Tag]],db_drift!$B$2:$B$259,db_drift!$A$2:$A$259),tblDepartmentHeadings[DepartmentHeading],tblDepartmentHeadings[DepartmentHeadingID],"")</f>
        <v/>
      </c>
      <c r="J201">
        <v>1</v>
      </c>
      <c r="K201" t="str">
        <f>_xlfn.XLOOKUP(_xlfn.XLOOKUP(tblTags[[#This Row],[Tag]],db_drift!$B$2:$B$259,db_drift!$E$2:$E$259),tblFuelTypes[FuelType],tblFuelTypes[FuelTypeID],"")</f>
        <v/>
      </c>
      <c r="L201" t="str">
        <f>_xlfn.XLOOKUP(_xlfn.XLOOKUP(tblTags[[#This Row],[Tag]],db_drift!$B$2:$B$259,db_drift!$F$2:$F$259),tblFuelAllocations[FuelAllocation],tblFuelAllocations[FuelAllocationID],"")</f>
        <v/>
      </c>
      <c r="M201" t="str">
        <f>_xlfn.XLOOKUP(tblTags[[#This Row],[Tag]],tblHelpCalc1[Tag],tblHelpCalc1[Calc1ID],"")</f>
        <v/>
      </c>
      <c r="N201" t="str">
        <f>_xlfn.XLOOKUP(tblTags[[#This Row],[Tag]],tblHelpCalc2[Tag],tblHelpCalc2[Calc2ID],"")</f>
        <v/>
      </c>
      <c r="O201" s="2">
        <f>_xlfn.XLOOKUP(_xlfn.XLOOKUP(tblTags[[#This Row],[Tag]],tblDbDrift[Tag],tblDbDrift[Hide Tags]),tblHideTags[HideTag],tblHideTags[ID],"")</f>
        <v>1</v>
      </c>
      <c r="P201" s="2"/>
      <c r="Q201" s="2" t="s">
        <v>767</v>
      </c>
      <c r="R201" s="2"/>
      <c r="S201" s="2"/>
    </row>
    <row r="202" spans="1:19" x14ac:dyDescent="0.2">
      <c r="A202">
        <v>192</v>
      </c>
      <c r="B202">
        <v>192</v>
      </c>
      <c r="C202" t="s">
        <v>268</v>
      </c>
      <c r="D202" t="s">
        <v>269</v>
      </c>
      <c r="E202" t="s">
        <v>269</v>
      </c>
      <c r="F202" cm="1">
        <f t="array" ref="F202">_xlfn.XLOOKUP(_xlfn.XLOOKUP(tblTags[[#This Row],[Tag]],db_drift!$B$2:$B$259,db_drift!$D$2:$D$259),tblInputTypes[[#All],[InputTypeName]],tblInputTypes[[#All],[InputTypeID]],"")</f>
        <v>4</v>
      </c>
      <c r="G202">
        <v>14</v>
      </c>
      <c r="H202">
        <v>4</v>
      </c>
      <c r="I202" t="str">
        <f>_xlfn.XLOOKUP(_xlfn.XLOOKUP(tblTags[[#This Row],[Tag]],db_drift!$B$2:$B$259,db_drift!$A$2:$A$259),tblDepartmentHeadings[DepartmentHeading],tblDepartmentHeadings[DepartmentHeadingID],"")</f>
        <v/>
      </c>
      <c r="J202">
        <v>8</v>
      </c>
      <c r="K202" t="str">
        <f>_xlfn.XLOOKUP(_xlfn.XLOOKUP(tblTags[[#This Row],[Tag]],db_drift!$B$2:$B$259,db_drift!$E$2:$E$259),tblFuelTypes[FuelType],tblFuelTypes[FuelTypeID],"")</f>
        <v/>
      </c>
      <c r="L202" t="str">
        <f>_xlfn.XLOOKUP(_xlfn.XLOOKUP(tblTags[[#This Row],[Tag]],db_drift!$B$2:$B$259,db_drift!$F$2:$F$259),tblFuelAllocations[FuelAllocation],tblFuelAllocations[FuelAllocationID],"")</f>
        <v/>
      </c>
      <c r="M202" t="str">
        <f>_xlfn.XLOOKUP(tblTags[[#This Row],[Tag]],tblHelpCalc1[Tag],tblHelpCalc1[Calc1ID],"")</f>
        <v/>
      </c>
      <c r="N202" t="str">
        <f>_xlfn.XLOOKUP(tblTags[[#This Row],[Tag]],tblHelpCalc2[Tag],tblHelpCalc2[Calc2ID],"")</f>
        <v/>
      </c>
      <c r="O202" s="2">
        <f>_xlfn.XLOOKUP(_xlfn.XLOOKUP(tblTags[[#This Row],[Tag]],tblDbDrift[Tag],tblDbDrift[Hide Tags]),tblHideTags[HideTag],tblHideTags[ID],"")</f>
        <v>1</v>
      </c>
      <c r="P202" s="2"/>
      <c r="Q202" s="2" t="s">
        <v>767</v>
      </c>
      <c r="R202" s="2"/>
      <c r="S202" s="2"/>
    </row>
    <row r="203" spans="1:19" x14ac:dyDescent="0.2">
      <c r="A203">
        <v>193</v>
      </c>
      <c r="B203">
        <v>193</v>
      </c>
      <c r="C203" t="s">
        <v>270</v>
      </c>
      <c r="D203" t="s">
        <v>271</v>
      </c>
      <c r="E203" t="s">
        <v>271</v>
      </c>
      <c r="F203" cm="1">
        <f t="array" ref="F203">_xlfn.XLOOKUP(_xlfn.XLOOKUP(tblTags[[#This Row],[Tag]],db_drift!$B$2:$B$259,db_drift!$D$2:$D$259),tblInputTypes[[#All],[InputTypeName]],tblInputTypes[[#All],[InputTypeID]],"")</f>
        <v>4</v>
      </c>
      <c r="G203">
        <v>14</v>
      </c>
      <c r="H203">
        <v>4</v>
      </c>
      <c r="I203" t="str">
        <f>_xlfn.XLOOKUP(_xlfn.XLOOKUP(tblTags[[#This Row],[Tag]],db_drift!$B$2:$B$259,db_drift!$A$2:$A$259),tblDepartmentHeadings[DepartmentHeading],tblDepartmentHeadings[DepartmentHeadingID],"")</f>
        <v/>
      </c>
      <c r="J203">
        <v>6</v>
      </c>
      <c r="K203" t="str">
        <f>_xlfn.XLOOKUP(_xlfn.XLOOKUP(tblTags[[#This Row],[Tag]],db_drift!$B$2:$B$259,db_drift!$E$2:$E$259),tblFuelTypes[FuelType],tblFuelTypes[FuelTypeID],"")</f>
        <v/>
      </c>
      <c r="L203" t="str">
        <f>_xlfn.XLOOKUP(_xlfn.XLOOKUP(tblTags[[#This Row],[Tag]],db_drift!$B$2:$B$259,db_drift!$F$2:$F$259),tblFuelAllocations[FuelAllocation],tblFuelAllocations[FuelAllocationID],"")</f>
        <v/>
      </c>
      <c r="M203" t="str">
        <f>_xlfn.XLOOKUP(tblTags[[#This Row],[Tag]],tblHelpCalc1[Tag],tblHelpCalc1[Calc1ID],"")</f>
        <v/>
      </c>
      <c r="N203" t="str">
        <f>_xlfn.XLOOKUP(tblTags[[#This Row],[Tag]],tblHelpCalc2[Tag],tblHelpCalc2[Calc2ID],"")</f>
        <v/>
      </c>
      <c r="O203" s="2">
        <f>_xlfn.XLOOKUP(_xlfn.XLOOKUP(tblTags[[#This Row],[Tag]],tblDbDrift[Tag],tblDbDrift[Hide Tags]),tblHideTags[HideTag],tblHideTags[ID],"")</f>
        <v>1</v>
      </c>
      <c r="P203" s="2"/>
      <c r="Q203" s="2" t="s">
        <v>767</v>
      </c>
      <c r="R203" s="2"/>
      <c r="S203" s="2"/>
    </row>
    <row r="204" spans="1:19" x14ac:dyDescent="0.2">
      <c r="A204">
        <v>194</v>
      </c>
      <c r="B204">
        <v>194</v>
      </c>
      <c r="C204" t="s">
        <v>272</v>
      </c>
      <c r="D204" t="s">
        <v>273</v>
      </c>
      <c r="E204" t="s">
        <v>273</v>
      </c>
      <c r="F204" cm="1">
        <f t="array" ref="F204">_xlfn.XLOOKUP(_xlfn.XLOOKUP(tblTags[[#This Row],[Tag]],db_drift!$B$2:$B$259,db_drift!$D$2:$D$259),tblInputTypes[[#All],[InputTypeName]],tblInputTypes[[#All],[InputTypeID]],"")</f>
        <v>4</v>
      </c>
      <c r="G204">
        <v>14</v>
      </c>
      <c r="H204">
        <v>4</v>
      </c>
      <c r="I204" t="str">
        <f>_xlfn.XLOOKUP(_xlfn.XLOOKUP(tblTags[[#This Row],[Tag]],db_drift!$B$2:$B$259,db_drift!$A$2:$A$259),tblDepartmentHeadings[DepartmentHeading],tblDepartmentHeadings[DepartmentHeadingID],"")</f>
        <v/>
      </c>
      <c r="J204">
        <v>1</v>
      </c>
      <c r="K204" t="str">
        <f>_xlfn.XLOOKUP(_xlfn.XLOOKUP(tblTags[[#This Row],[Tag]],db_drift!$B$2:$B$259,db_drift!$E$2:$E$259),tblFuelTypes[FuelType],tblFuelTypes[FuelTypeID],"")</f>
        <v/>
      </c>
      <c r="L204" t="str">
        <f>_xlfn.XLOOKUP(_xlfn.XLOOKUP(tblTags[[#This Row],[Tag]],db_drift!$B$2:$B$259,db_drift!$F$2:$F$259),tblFuelAllocations[FuelAllocation],tblFuelAllocations[FuelAllocationID],"")</f>
        <v/>
      </c>
      <c r="M204">
        <f>_xlfn.XLOOKUP(tblTags[[#This Row],[Tag]],tblHelpCalc1[Tag],tblHelpCalc1[Calc1ID],"")</f>
        <v>47</v>
      </c>
      <c r="N204" t="str">
        <f>_xlfn.XLOOKUP(tblTags[[#This Row],[Tag]],tblHelpCalc2[Tag],tblHelpCalc2[Calc2ID],"")</f>
        <v/>
      </c>
      <c r="O204" s="2" t="str">
        <f>_xlfn.XLOOKUP(_xlfn.XLOOKUP(tblTags[[#This Row],[Tag]],tblDbDrift[Tag],tblDbDrift[Hide Tags]),tblHideTags[HideTag],tblHideTags[ID],"")</f>
        <v/>
      </c>
      <c r="P204" s="2"/>
      <c r="Q204" s="2" t="s">
        <v>768</v>
      </c>
      <c r="R204" s="2"/>
      <c r="S204" s="2"/>
    </row>
    <row r="205" spans="1:19" x14ac:dyDescent="0.2">
      <c r="A205">
        <v>195</v>
      </c>
      <c r="B205">
        <v>195</v>
      </c>
      <c r="C205" t="s">
        <v>274</v>
      </c>
      <c r="D205" t="s">
        <v>275</v>
      </c>
      <c r="E205" t="s">
        <v>275</v>
      </c>
      <c r="F205" cm="1">
        <f t="array" ref="F205">_xlfn.XLOOKUP(_xlfn.XLOOKUP(tblTags[[#This Row],[Tag]],db_drift!$B$2:$B$259,db_drift!$D$2:$D$259),tblInputTypes[[#All],[InputTypeName]],tblInputTypes[[#All],[InputTypeID]],"")</f>
        <v>4</v>
      </c>
      <c r="G205">
        <v>14</v>
      </c>
      <c r="H205">
        <v>4</v>
      </c>
      <c r="I205" t="str">
        <f>_xlfn.XLOOKUP(_xlfn.XLOOKUP(tblTags[[#This Row],[Tag]],db_drift!$B$2:$B$259,db_drift!$A$2:$A$259),tblDepartmentHeadings[DepartmentHeading],tblDepartmentHeadings[DepartmentHeadingID],"")</f>
        <v/>
      </c>
      <c r="J205">
        <v>1</v>
      </c>
      <c r="K205" t="str">
        <f>_xlfn.XLOOKUP(_xlfn.XLOOKUP(tblTags[[#This Row],[Tag]],db_drift!$B$2:$B$259,db_drift!$E$2:$E$259),tblFuelTypes[FuelType],tblFuelTypes[FuelTypeID],"")</f>
        <v/>
      </c>
      <c r="L205" t="str">
        <f>_xlfn.XLOOKUP(_xlfn.XLOOKUP(tblTags[[#This Row],[Tag]],db_drift!$B$2:$B$259,db_drift!$F$2:$F$259),tblFuelAllocations[FuelAllocation],tblFuelAllocations[FuelAllocationID],"")</f>
        <v/>
      </c>
      <c r="M205">
        <f>_xlfn.XLOOKUP(tblTags[[#This Row],[Tag]],tblHelpCalc1[Tag],tblHelpCalc1[Calc1ID],"")</f>
        <v>48</v>
      </c>
      <c r="N205" t="str">
        <f>_xlfn.XLOOKUP(tblTags[[#This Row],[Tag]],tblHelpCalc2[Tag],tblHelpCalc2[Calc2ID],"")</f>
        <v/>
      </c>
      <c r="O205" s="2" t="str">
        <f>_xlfn.XLOOKUP(_xlfn.XLOOKUP(tblTags[[#This Row],[Tag]],tblDbDrift[Tag],tblDbDrift[Hide Tags]),tblHideTags[HideTag],tblHideTags[ID],"")</f>
        <v/>
      </c>
      <c r="P205" s="2"/>
      <c r="Q205" s="2" t="s">
        <v>769</v>
      </c>
      <c r="R205" s="2"/>
      <c r="S205" s="2"/>
    </row>
    <row r="206" spans="1:19" x14ac:dyDescent="0.2">
      <c r="A206">
        <v>196</v>
      </c>
      <c r="B206">
        <v>196</v>
      </c>
      <c r="C206" t="s">
        <v>429</v>
      </c>
      <c r="D206" t="s">
        <v>430</v>
      </c>
      <c r="E206" t="s">
        <v>430</v>
      </c>
      <c r="F206" cm="1">
        <f t="array" ref="F206">_xlfn.XLOOKUP(_xlfn.XLOOKUP(tblTags[[#This Row],[Tag]],db_drift!$B$2:$B$259,db_drift!$D$2:$D$259),tblInputTypes[[#All],[InputTypeName]],tblInputTypes[[#All],[InputTypeID]],"")</f>
        <v>4</v>
      </c>
      <c r="G206">
        <v>14</v>
      </c>
      <c r="H206">
        <v>4</v>
      </c>
      <c r="I206" t="str">
        <f>_xlfn.XLOOKUP(_xlfn.XLOOKUP(tblTags[[#This Row],[Tag]],db_drift!$B$2:$B$259,db_drift!$A$2:$A$259),tblDepartmentHeadings[DepartmentHeading],tblDepartmentHeadings[DepartmentHeadingID],"")</f>
        <v/>
      </c>
      <c r="J206">
        <v>1</v>
      </c>
      <c r="K206">
        <f>_xlfn.XLOOKUP(_xlfn.XLOOKUP(tblTags[[#This Row],[Tag]],db_drift!$B$2:$B$259,db_drift!$E$2:$E$259),tblFuelTypes[FuelType],tblFuelTypes[FuelTypeID],"")</f>
        <v>2</v>
      </c>
      <c r="L206">
        <f>_xlfn.XLOOKUP(_xlfn.XLOOKUP(tblTags[[#This Row],[Tag]],db_drift!$B$2:$B$259,db_drift!$F$2:$F$259),tblFuelAllocations[FuelAllocation],tblFuelAllocations[FuelAllocationID],"")</f>
        <v>1</v>
      </c>
      <c r="M206" t="str">
        <f>_xlfn.XLOOKUP(tblTags[[#This Row],[Tag]],tblHelpCalc1[Tag],tblHelpCalc1[Calc1ID],"")</f>
        <v/>
      </c>
      <c r="N206" t="str">
        <f>_xlfn.XLOOKUP(tblTags[[#This Row],[Tag]],tblHelpCalc2[Tag],tblHelpCalc2[Calc2ID],"")</f>
        <v/>
      </c>
      <c r="O206" s="2" t="str">
        <f>_xlfn.XLOOKUP(_xlfn.XLOOKUP(tblTags[[#This Row],[Tag]],tblDbDrift[Tag],tblDbDrift[Hide Tags]),tblHideTags[HideTag],tblHideTags[ID],"")</f>
        <v/>
      </c>
      <c r="P206" s="2"/>
      <c r="Q206" s="2" t="s">
        <v>770</v>
      </c>
      <c r="R206" s="2"/>
      <c r="S206" s="2"/>
    </row>
    <row r="207" spans="1:19" x14ac:dyDescent="0.2">
      <c r="A207">
        <v>197</v>
      </c>
      <c r="B207">
        <v>197</v>
      </c>
      <c r="C207" t="s">
        <v>431</v>
      </c>
      <c r="D207" t="s">
        <v>432</v>
      </c>
      <c r="E207" t="s">
        <v>432</v>
      </c>
      <c r="F207" cm="1">
        <f t="array" ref="F207">_xlfn.XLOOKUP(_xlfn.XLOOKUP(tblTags[[#This Row],[Tag]],db_drift!$B$2:$B$259,db_drift!$D$2:$D$259),tblInputTypes[[#All],[InputTypeName]],tblInputTypes[[#All],[InputTypeID]],"")</f>
        <v>4</v>
      </c>
      <c r="G207">
        <v>14</v>
      </c>
      <c r="H207">
        <v>4</v>
      </c>
      <c r="I207" t="str">
        <f>_xlfn.XLOOKUP(_xlfn.XLOOKUP(tblTags[[#This Row],[Tag]],db_drift!$B$2:$B$259,db_drift!$A$2:$A$259),tblDepartmentHeadings[DepartmentHeading],tblDepartmentHeadings[DepartmentHeadingID],"")</f>
        <v/>
      </c>
      <c r="J207">
        <v>1</v>
      </c>
      <c r="K207">
        <f>_xlfn.XLOOKUP(_xlfn.XLOOKUP(tblTags[[#This Row],[Tag]],db_drift!$B$2:$B$259,db_drift!$E$2:$E$259),tblFuelTypes[FuelType],tblFuelTypes[FuelTypeID],"")</f>
        <v>2</v>
      </c>
      <c r="L207">
        <f>_xlfn.XLOOKUP(_xlfn.XLOOKUP(tblTags[[#This Row],[Tag]],db_drift!$B$2:$B$259,db_drift!$F$2:$F$259),tblFuelAllocations[FuelAllocation],tblFuelAllocations[FuelAllocationID],"")</f>
        <v>2</v>
      </c>
      <c r="M207" t="str">
        <f>_xlfn.XLOOKUP(tblTags[[#This Row],[Tag]],tblHelpCalc1[Tag],tblHelpCalc1[Calc1ID],"")</f>
        <v/>
      </c>
      <c r="N207" t="str">
        <f>_xlfn.XLOOKUP(tblTags[[#This Row],[Tag]],tblHelpCalc2[Tag],tblHelpCalc2[Calc2ID],"")</f>
        <v/>
      </c>
      <c r="O207" s="2" t="str">
        <f>_xlfn.XLOOKUP(_xlfn.XLOOKUP(tblTags[[#This Row],[Tag]],tblDbDrift[Tag],tblDbDrift[Hide Tags]),tblHideTags[HideTag],tblHideTags[ID],"")</f>
        <v/>
      </c>
      <c r="P207" s="2"/>
      <c r="Q207" s="2" t="s">
        <v>771</v>
      </c>
      <c r="R207" s="2"/>
      <c r="S207" s="2"/>
    </row>
    <row r="208" spans="1:19" x14ac:dyDescent="0.2">
      <c r="A208">
        <v>198</v>
      </c>
      <c r="B208">
        <v>198</v>
      </c>
      <c r="C208" t="s">
        <v>433</v>
      </c>
      <c r="D208" t="s">
        <v>434</v>
      </c>
      <c r="E208" t="s">
        <v>434</v>
      </c>
      <c r="F208" cm="1">
        <f t="array" ref="F208">_xlfn.XLOOKUP(_xlfn.XLOOKUP(tblTags[[#This Row],[Tag]],db_drift!$B$2:$B$259,db_drift!$D$2:$D$259),tblInputTypes[[#All],[InputTypeName]],tblInputTypes[[#All],[InputTypeID]],"")</f>
        <v>4</v>
      </c>
      <c r="G208">
        <v>14</v>
      </c>
      <c r="H208">
        <v>4</v>
      </c>
      <c r="I208" t="str">
        <f>_xlfn.XLOOKUP(_xlfn.XLOOKUP(tblTags[[#This Row],[Tag]],db_drift!$B$2:$B$259,db_drift!$A$2:$A$259),tblDepartmentHeadings[DepartmentHeading],tblDepartmentHeadings[DepartmentHeadingID],"")</f>
        <v/>
      </c>
      <c r="J208">
        <v>1</v>
      </c>
      <c r="K208" t="str">
        <f>_xlfn.XLOOKUP(_xlfn.XLOOKUP(tblTags[[#This Row],[Tag]],db_drift!$B$2:$B$259,db_drift!$E$2:$E$259),tblFuelTypes[FuelType],tblFuelTypes[FuelTypeID],"")</f>
        <v/>
      </c>
      <c r="L208" t="str">
        <f>_xlfn.XLOOKUP(_xlfn.XLOOKUP(tblTags[[#This Row],[Tag]],db_drift!$B$2:$B$259,db_drift!$F$2:$F$259),tblFuelAllocations[FuelAllocation],tblFuelAllocations[FuelAllocationID],"")</f>
        <v/>
      </c>
      <c r="M208">
        <f>_xlfn.XLOOKUP(tblTags[[#This Row],[Tag]],tblHelpCalc1[Tag],tblHelpCalc1[Calc1ID],"")</f>
        <v>49</v>
      </c>
      <c r="N208" t="str">
        <f>_xlfn.XLOOKUP(tblTags[[#This Row],[Tag]],tblHelpCalc2[Tag],tblHelpCalc2[Calc2ID],"")</f>
        <v/>
      </c>
      <c r="O208" s="2" t="str">
        <f>_xlfn.XLOOKUP(_xlfn.XLOOKUP(tblTags[[#This Row],[Tag]],tblDbDrift[Tag],tblDbDrift[Hide Tags]),tblHideTags[HideTag],tblHideTags[ID],"")</f>
        <v/>
      </c>
      <c r="P208" s="2"/>
      <c r="Q208" s="2" t="s">
        <v>772</v>
      </c>
      <c r="R208" s="2"/>
      <c r="S208" s="2"/>
    </row>
    <row r="209" spans="1:19" x14ac:dyDescent="0.2">
      <c r="A209">
        <v>199</v>
      </c>
      <c r="B209">
        <v>199</v>
      </c>
      <c r="C209" t="s">
        <v>276</v>
      </c>
      <c r="D209" t="s">
        <v>435</v>
      </c>
      <c r="E209" t="s">
        <v>435</v>
      </c>
      <c r="F209" cm="1">
        <f t="array" ref="F209">_xlfn.XLOOKUP(_xlfn.XLOOKUP(tblTags[[#This Row],[Tag]],db_drift!$B$2:$B$259,db_drift!$D$2:$D$259),tblInputTypes[[#All],[InputTypeName]],tblInputTypes[[#All],[InputTypeID]],"")</f>
        <v>4</v>
      </c>
      <c r="G209">
        <v>14</v>
      </c>
      <c r="H209">
        <v>4</v>
      </c>
      <c r="I209" t="str">
        <f>_xlfn.XLOOKUP(_xlfn.XLOOKUP(tblTags[[#This Row],[Tag]],db_drift!$B$2:$B$259,db_drift!$A$2:$A$259),tblDepartmentHeadings[DepartmentHeading],tblDepartmentHeadings[DepartmentHeadingID],"")</f>
        <v/>
      </c>
      <c r="J209">
        <v>1</v>
      </c>
      <c r="K209" t="str">
        <f>_xlfn.XLOOKUP(_xlfn.XLOOKUP(tblTags[[#This Row],[Tag]],db_drift!$B$2:$B$259,db_drift!$E$2:$E$259),tblFuelTypes[FuelType],tblFuelTypes[FuelTypeID],"")</f>
        <v/>
      </c>
      <c r="L209" t="str">
        <f>_xlfn.XLOOKUP(_xlfn.XLOOKUP(tblTags[[#This Row],[Tag]],db_drift!$B$2:$B$259,db_drift!$F$2:$F$259),tblFuelAllocations[FuelAllocation],tblFuelAllocations[FuelAllocationID],"")</f>
        <v/>
      </c>
      <c r="M209">
        <f>_xlfn.XLOOKUP(tblTags[[#This Row],[Tag]],tblHelpCalc1[Tag],tblHelpCalc1[Calc1ID],"")</f>
        <v>50</v>
      </c>
      <c r="N209" t="str">
        <f>_xlfn.XLOOKUP(tblTags[[#This Row],[Tag]],tblHelpCalc2[Tag],tblHelpCalc2[Calc2ID],"")</f>
        <v/>
      </c>
      <c r="O209" s="2" t="str">
        <f>_xlfn.XLOOKUP(_xlfn.XLOOKUP(tblTags[[#This Row],[Tag]],tblDbDrift[Tag],tblDbDrift[Hide Tags]),tblHideTags[HideTag],tblHideTags[ID],"")</f>
        <v/>
      </c>
      <c r="P209" s="2"/>
      <c r="Q209" s="2" t="s">
        <v>773</v>
      </c>
      <c r="R209" s="2"/>
      <c r="S209" s="2"/>
    </row>
    <row r="210" spans="1:19" x14ac:dyDescent="0.2">
      <c r="A210">
        <v>200</v>
      </c>
      <c r="B210">
        <v>200</v>
      </c>
      <c r="C210" t="s">
        <v>436</v>
      </c>
      <c r="F210" t="str" cm="1">
        <f t="array" ref="F210">_xlfn.XLOOKUP(_xlfn.XLOOKUP(tblTags[[#This Row],[Tag]],db_drift!$B$2:$B$259,db_drift!$D$2:$D$259),tblInputTypes[[#All],[InputTypeName]],tblInputTypes[[#All],[InputTypeID]],"")</f>
        <v/>
      </c>
      <c r="G210">
        <v>14</v>
      </c>
      <c r="H210">
        <v>5</v>
      </c>
      <c r="I210" t="str">
        <f>_xlfn.XLOOKUP(_xlfn.XLOOKUP(tblTags[[#This Row],[Tag]],db_drift!$B$2:$B$259,db_drift!$A$2:$A$259),tblDepartmentHeadings[DepartmentHeading],tblDepartmentHeadings[DepartmentHeadingID],"")</f>
        <v/>
      </c>
      <c r="K210" t="str">
        <f>_xlfn.XLOOKUP(_xlfn.XLOOKUP(tblTags[[#This Row],[Tag]],db_drift!$B$2:$B$259,db_drift!$E$2:$E$259),tblFuelTypes[FuelType],tblFuelTypes[FuelTypeID],"")</f>
        <v/>
      </c>
      <c r="L210" t="str">
        <f>_xlfn.XLOOKUP(_xlfn.XLOOKUP(tblTags[[#This Row],[Tag]],db_drift!$B$2:$B$259,db_drift!$F$2:$F$259),tblFuelAllocations[FuelAllocation],tblFuelAllocations[FuelAllocationID],"")</f>
        <v/>
      </c>
      <c r="M210" t="str">
        <f>_xlfn.XLOOKUP(tblTags[[#This Row],[Tag]],tblHelpCalc1[Tag],tblHelpCalc1[Calc1ID],"")</f>
        <v/>
      </c>
      <c r="N210" t="str">
        <f>_xlfn.XLOOKUP(tblTags[[#This Row],[Tag]],tblHelpCalc2[Tag],tblHelpCalc2[Calc2ID],"")</f>
        <v/>
      </c>
      <c r="O210" s="2" t="str">
        <f>_xlfn.XLOOKUP(_xlfn.XLOOKUP(tblTags[[#This Row],[Tag]],tblDbDrift[Tag],tblDbDrift[Hide Tags]),tblHideTags[HideTag],tblHideTags[ID],"")</f>
        <v/>
      </c>
      <c r="P210" s="2"/>
      <c r="Q210" s="2" t="s">
        <v>774</v>
      </c>
      <c r="R210" s="2"/>
      <c r="S210" s="2"/>
    </row>
    <row r="211" spans="1:19" x14ac:dyDescent="0.2">
      <c r="A211">
        <v>201</v>
      </c>
      <c r="B211">
        <v>201</v>
      </c>
      <c r="C211" t="s">
        <v>437</v>
      </c>
      <c r="D211" t="s">
        <v>438</v>
      </c>
      <c r="E211" t="s">
        <v>438</v>
      </c>
      <c r="F211" cm="1">
        <f t="array" ref="F211">_xlfn.XLOOKUP(_xlfn.XLOOKUP(tblTags[[#This Row],[Tag]],db_drift!$B$2:$B$259,db_drift!$D$2:$D$259),tblInputTypes[[#All],[InputTypeName]],tblInputTypes[[#All],[InputTypeID]],"")</f>
        <v>4</v>
      </c>
      <c r="G211">
        <v>14</v>
      </c>
      <c r="H211">
        <v>5</v>
      </c>
      <c r="I211">
        <f>_xlfn.XLOOKUP(_xlfn.XLOOKUP(tblTags[[#This Row],[Tag]],db_drift!$B$2:$B$259,db_drift!$A$2:$A$259),tblDepartmentHeadings[DepartmentHeading],tblDepartmentHeadings[DepartmentHeadingID],"")</f>
        <v>15</v>
      </c>
      <c r="J211">
        <v>3</v>
      </c>
      <c r="K211" t="str">
        <f>_xlfn.XLOOKUP(_xlfn.XLOOKUP(tblTags[[#This Row],[Tag]],db_drift!$B$2:$B$259,db_drift!$E$2:$E$259),tblFuelTypes[FuelType],tblFuelTypes[FuelTypeID],"")</f>
        <v/>
      </c>
      <c r="L211" t="str">
        <f>_xlfn.XLOOKUP(_xlfn.XLOOKUP(tblTags[[#This Row],[Tag]],db_drift!$B$2:$B$259,db_drift!$F$2:$F$259),tblFuelAllocations[FuelAllocation],tblFuelAllocations[FuelAllocationID],"")</f>
        <v/>
      </c>
      <c r="M211">
        <f>_xlfn.XLOOKUP(tblTags[[#This Row],[Tag]],tblHelpCalc1[Tag],tblHelpCalc1[Calc1ID],"")</f>
        <v>51</v>
      </c>
      <c r="N211" t="str">
        <f>_xlfn.XLOOKUP(tblTags[[#This Row],[Tag]],tblHelpCalc2[Tag],tblHelpCalc2[Calc2ID],"")</f>
        <v/>
      </c>
      <c r="O211" s="2" t="str">
        <f>_xlfn.XLOOKUP(_xlfn.XLOOKUP(tblTags[[#This Row],[Tag]],tblDbDrift[Tag],tblDbDrift[Hide Tags]),tblHideTags[HideTag],tblHideTags[ID],"")</f>
        <v/>
      </c>
      <c r="P211" s="2"/>
      <c r="Q211" s="2" t="s">
        <v>775</v>
      </c>
      <c r="R211" s="2"/>
      <c r="S211" s="2"/>
    </row>
    <row r="212" spans="1:19" x14ac:dyDescent="0.2">
      <c r="A212">
        <v>202</v>
      </c>
      <c r="B212">
        <v>202</v>
      </c>
      <c r="C212" t="s">
        <v>439</v>
      </c>
      <c r="D212" t="s">
        <v>440</v>
      </c>
      <c r="E212" t="s">
        <v>440</v>
      </c>
      <c r="F212" cm="1">
        <f t="array" ref="F212">_xlfn.XLOOKUP(_xlfn.XLOOKUP(tblTags[[#This Row],[Tag]],db_drift!$B$2:$B$259,db_drift!$D$2:$D$259),tblInputTypes[[#All],[InputTypeName]],tblInputTypes[[#All],[InputTypeID]],"")</f>
        <v>4</v>
      </c>
      <c r="G212">
        <v>14</v>
      </c>
      <c r="H212">
        <v>5</v>
      </c>
      <c r="I212" t="str">
        <f>_xlfn.XLOOKUP(_xlfn.XLOOKUP(tblTags[[#This Row],[Tag]],db_drift!$B$2:$B$259,db_drift!$A$2:$A$259),tblDepartmentHeadings[DepartmentHeading],tblDepartmentHeadings[DepartmentHeadingID],"")</f>
        <v/>
      </c>
      <c r="J212">
        <v>1</v>
      </c>
      <c r="K212" t="str">
        <f>_xlfn.XLOOKUP(_xlfn.XLOOKUP(tblTags[[#This Row],[Tag]],db_drift!$B$2:$B$259,db_drift!$E$2:$E$259),tblFuelTypes[FuelType],tblFuelTypes[FuelTypeID],"")</f>
        <v/>
      </c>
      <c r="L212" t="str">
        <f>_xlfn.XLOOKUP(_xlfn.XLOOKUP(tblTags[[#This Row],[Tag]],db_drift!$B$2:$B$259,db_drift!$F$2:$F$259),tblFuelAllocations[FuelAllocation],tblFuelAllocations[FuelAllocationID],"")</f>
        <v/>
      </c>
      <c r="M212">
        <f>_xlfn.XLOOKUP(tblTags[[#This Row],[Tag]],tblHelpCalc1[Tag],tblHelpCalc1[Calc1ID],"")</f>
        <v>52</v>
      </c>
      <c r="N212" t="str">
        <f>_xlfn.XLOOKUP(tblTags[[#This Row],[Tag]],tblHelpCalc2[Tag],tblHelpCalc2[Calc2ID],"")</f>
        <v/>
      </c>
      <c r="O212" s="2" t="str">
        <f>_xlfn.XLOOKUP(_xlfn.XLOOKUP(tblTags[[#This Row],[Tag]],tblDbDrift[Tag],tblDbDrift[Hide Tags]),tblHideTags[HideTag],tblHideTags[ID],"")</f>
        <v/>
      </c>
      <c r="P212" s="2"/>
      <c r="Q212" s="2" t="s">
        <v>776</v>
      </c>
      <c r="R212" s="2"/>
      <c r="S212" s="2"/>
    </row>
    <row r="213" spans="1:19" x14ac:dyDescent="0.2">
      <c r="A213">
        <v>203</v>
      </c>
      <c r="B213">
        <v>203</v>
      </c>
      <c r="C213" t="s">
        <v>441</v>
      </c>
      <c r="D213" t="s">
        <v>442</v>
      </c>
      <c r="E213" t="s">
        <v>442</v>
      </c>
      <c r="F213" cm="1">
        <f t="array" ref="F213">_xlfn.XLOOKUP(_xlfn.XLOOKUP(tblTags[[#This Row],[Tag]],db_drift!$B$2:$B$259,db_drift!$D$2:$D$259),tblInputTypes[[#All],[InputTypeName]],tblInputTypes[[#All],[InputTypeID]],"")</f>
        <v>4</v>
      </c>
      <c r="G213">
        <v>14</v>
      </c>
      <c r="H213">
        <v>1</v>
      </c>
      <c r="I213" t="str">
        <f>_xlfn.XLOOKUP(_xlfn.XLOOKUP(tblTags[[#This Row],[Tag]],db_drift!$B$2:$B$259,db_drift!$A$2:$A$259),tblDepartmentHeadings[DepartmentHeading],tblDepartmentHeadings[DepartmentHeadingID],"")</f>
        <v/>
      </c>
      <c r="K213" t="str">
        <f>_xlfn.XLOOKUP(_xlfn.XLOOKUP(tblTags[[#This Row],[Tag]],db_drift!$B$2:$B$259,db_drift!$E$2:$E$259),tblFuelTypes[FuelType],tblFuelTypes[FuelTypeID],"")</f>
        <v/>
      </c>
      <c r="L213" t="str">
        <f>_xlfn.XLOOKUP(_xlfn.XLOOKUP(tblTags[[#This Row],[Tag]],db_drift!$B$2:$B$259,db_drift!$F$2:$F$259),tblFuelAllocations[FuelAllocation],tblFuelAllocations[FuelAllocationID],"")</f>
        <v/>
      </c>
      <c r="M213">
        <f>_xlfn.XLOOKUP(tblTags[[#This Row],[Tag]],tblHelpCalc1[Tag],tblHelpCalc1[Calc1ID],"")</f>
        <v>53</v>
      </c>
      <c r="N213" t="str">
        <f>_xlfn.XLOOKUP(tblTags[[#This Row],[Tag]],tblHelpCalc2[Tag],tblHelpCalc2[Calc2ID],"")</f>
        <v/>
      </c>
      <c r="O213" s="2" t="str">
        <f>_xlfn.XLOOKUP(_xlfn.XLOOKUP(tblTags[[#This Row],[Tag]],tblDbDrift[Tag],tblDbDrift[Hide Tags]),tblHideTags[HideTag],tblHideTags[ID],"")</f>
        <v/>
      </c>
      <c r="P213" s="2"/>
      <c r="Q213" s="2" t="s">
        <v>777</v>
      </c>
      <c r="R213" s="2"/>
      <c r="S213" s="2"/>
    </row>
    <row r="214" spans="1:19" x14ac:dyDescent="0.2">
      <c r="A214">
        <v>204</v>
      </c>
      <c r="B214">
        <v>204</v>
      </c>
      <c r="C214" t="s">
        <v>443</v>
      </c>
      <c r="D214" t="s">
        <v>444</v>
      </c>
      <c r="E214" t="s">
        <v>444</v>
      </c>
      <c r="F214" cm="1">
        <f t="array" ref="F214">_xlfn.XLOOKUP(_xlfn.XLOOKUP(tblTags[[#This Row],[Tag]],db_drift!$B$2:$B$259,db_drift!$D$2:$D$259),tblInputTypes[[#All],[InputTypeName]],tblInputTypes[[#All],[InputTypeID]],"")</f>
        <v>4</v>
      </c>
      <c r="G214">
        <v>14</v>
      </c>
      <c r="H214">
        <v>1</v>
      </c>
      <c r="I214" t="str">
        <f>_xlfn.XLOOKUP(_xlfn.XLOOKUP(tblTags[[#This Row],[Tag]],db_drift!$B$2:$B$259,db_drift!$A$2:$A$259),tblDepartmentHeadings[DepartmentHeading],tblDepartmentHeadings[DepartmentHeadingID],"")</f>
        <v/>
      </c>
      <c r="J214">
        <v>3</v>
      </c>
      <c r="K214" t="str">
        <f>_xlfn.XLOOKUP(_xlfn.XLOOKUP(tblTags[[#This Row],[Tag]],db_drift!$B$2:$B$259,db_drift!$E$2:$E$259),tblFuelTypes[FuelType],tblFuelTypes[FuelTypeID],"")</f>
        <v/>
      </c>
      <c r="L214" t="str">
        <f>_xlfn.XLOOKUP(_xlfn.XLOOKUP(tblTags[[#This Row],[Tag]],db_drift!$B$2:$B$259,db_drift!$F$2:$F$259),tblFuelAllocations[FuelAllocation],tblFuelAllocations[FuelAllocationID],"")</f>
        <v/>
      </c>
      <c r="M214">
        <f>_xlfn.XLOOKUP(tblTags[[#This Row],[Tag]],tblHelpCalc1[Tag],tblHelpCalc1[Calc1ID],"")</f>
        <v>54</v>
      </c>
      <c r="N214" t="str">
        <f>_xlfn.XLOOKUP(tblTags[[#This Row],[Tag]],tblHelpCalc2[Tag],tblHelpCalc2[Calc2ID],"")</f>
        <v/>
      </c>
      <c r="O214" s="2" t="str">
        <f>_xlfn.XLOOKUP(_xlfn.XLOOKUP(tblTags[[#This Row],[Tag]],tblDbDrift[Tag],tblDbDrift[Hide Tags]),tblHideTags[HideTag],tblHideTags[ID],"")</f>
        <v/>
      </c>
      <c r="P214" s="2"/>
      <c r="Q214" s="2" t="s">
        <v>778</v>
      </c>
      <c r="R214" s="2"/>
      <c r="S214" s="2"/>
    </row>
    <row r="215" spans="1:19" x14ac:dyDescent="0.2">
      <c r="A215">
        <v>205</v>
      </c>
      <c r="B215">
        <v>205</v>
      </c>
      <c r="C215" t="s">
        <v>445</v>
      </c>
      <c r="D215" t="s">
        <v>446</v>
      </c>
      <c r="E215" t="s">
        <v>446</v>
      </c>
      <c r="F215" cm="1">
        <f t="array" ref="F215">_xlfn.XLOOKUP(_xlfn.XLOOKUP(tblTags[[#This Row],[Tag]],db_drift!$B$2:$B$259,db_drift!$D$2:$D$259),tblInputTypes[[#All],[InputTypeName]],tblInputTypes[[#All],[InputTypeID]],"")</f>
        <v>4</v>
      </c>
      <c r="G215">
        <v>14</v>
      </c>
      <c r="H215">
        <v>1</v>
      </c>
      <c r="I215" t="str">
        <f>_xlfn.XLOOKUP(_xlfn.XLOOKUP(tblTags[[#This Row],[Tag]],db_drift!$B$2:$B$259,db_drift!$A$2:$A$259),tblDepartmentHeadings[DepartmentHeading],tblDepartmentHeadings[DepartmentHeadingID],"")</f>
        <v/>
      </c>
      <c r="J215">
        <v>3</v>
      </c>
      <c r="K215" t="str">
        <f>_xlfn.XLOOKUP(_xlfn.XLOOKUP(tblTags[[#This Row],[Tag]],db_drift!$B$2:$B$259,db_drift!$E$2:$E$259),tblFuelTypes[FuelType],tblFuelTypes[FuelTypeID],"")</f>
        <v/>
      </c>
      <c r="L215" t="str">
        <f>_xlfn.XLOOKUP(_xlfn.XLOOKUP(tblTags[[#This Row],[Tag]],db_drift!$B$2:$B$259,db_drift!$F$2:$F$259),tblFuelAllocations[FuelAllocation],tblFuelAllocations[FuelAllocationID],"")</f>
        <v/>
      </c>
      <c r="M215" t="str">
        <f>_xlfn.XLOOKUP(tblTags[[#This Row],[Tag]],tblHelpCalc1[Tag],tblHelpCalc1[Calc1ID],"")</f>
        <v/>
      </c>
      <c r="N215" t="str">
        <f>_xlfn.XLOOKUP(tblTags[[#This Row],[Tag]],tblHelpCalc2[Tag],tblHelpCalc2[Calc2ID],"")</f>
        <v/>
      </c>
      <c r="O215" s="2" t="str">
        <f>_xlfn.XLOOKUP(_xlfn.XLOOKUP(tblTags[[#This Row],[Tag]],tblDbDrift[Tag],tblDbDrift[Hide Tags]),tblHideTags[HideTag],tblHideTags[ID],"")</f>
        <v/>
      </c>
      <c r="P215" s="2"/>
      <c r="Q215" s="2" t="s">
        <v>779</v>
      </c>
      <c r="R215" s="2"/>
      <c r="S215" s="2"/>
    </row>
    <row r="216" spans="1:19" x14ac:dyDescent="0.2">
      <c r="A216">
        <v>206</v>
      </c>
      <c r="B216">
        <v>206</v>
      </c>
      <c r="C216" t="s">
        <v>447</v>
      </c>
      <c r="D216" t="s">
        <v>448</v>
      </c>
      <c r="E216" t="s">
        <v>448</v>
      </c>
      <c r="F216" cm="1">
        <f t="array" ref="F216">_xlfn.XLOOKUP(_xlfn.XLOOKUP(tblTags[[#This Row],[Tag]],db_drift!$B$2:$B$259,db_drift!$D$2:$D$259),tblInputTypes[[#All],[InputTypeName]],tblInputTypes[[#All],[InputTypeID]],"")</f>
        <v>4</v>
      </c>
      <c r="G216">
        <v>14</v>
      </c>
      <c r="H216">
        <v>1</v>
      </c>
      <c r="I216" t="str">
        <f>_xlfn.XLOOKUP(_xlfn.XLOOKUP(tblTags[[#This Row],[Tag]],db_drift!$B$2:$B$259,db_drift!$A$2:$A$259),tblDepartmentHeadings[DepartmentHeading],tblDepartmentHeadings[DepartmentHeadingID],"")</f>
        <v/>
      </c>
      <c r="J216">
        <v>9</v>
      </c>
      <c r="K216" t="str">
        <f>_xlfn.XLOOKUP(_xlfn.XLOOKUP(tblTags[[#This Row],[Tag]],db_drift!$B$2:$B$259,db_drift!$E$2:$E$259),tblFuelTypes[FuelType],tblFuelTypes[FuelTypeID],"")</f>
        <v/>
      </c>
      <c r="L216" t="str">
        <f>_xlfn.XLOOKUP(_xlfn.XLOOKUP(tblTags[[#This Row],[Tag]],db_drift!$B$2:$B$259,db_drift!$F$2:$F$259),tblFuelAllocations[FuelAllocation],tblFuelAllocations[FuelAllocationID],"")</f>
        <v/>
      </c>
      <c r="M216" t="str">
        <f>_xlfn.XLOOKUP(tblTags[[#This Row],[Tag]],tblHelpCalc1[Tag],tblHelpCalc1[Calc1ID],"")</f>
        <v/>
      </c>
      <c r="N216" t="str">
        <f>_xlfn.XLOOKUP(tblTags[[#This Row],[Tag]],tblHelpCalc2[Tag],tblHelpCalc2[Calc2ID],"")</f>
        <v/>
      </c>
      <c r="O216" s="2" t="str">
        <f>_xlfn.XLOOKUP(_xlfn.XLOOKUP(tblTags[[#This Row],[Tag]],tblDbDrift[Tag],tblDbDrift[Hide Tags]),tblHideTags[HideTag],tblHideTags[ID],"")</f>
        <v/>
      </c>
      <c r="P216" s="2"/>
      <c r="Q216" s="2" t="s">
        <v>780</v>
      </c>
      <c r="R216" s="2"/>
      <c r="S216" s="2"/>
    </row>
    <row r="217" spans="1:19" x14ac:dyDescent="0.2">
      <c r="A217">
        <v>207</v>
      </c>
      <c r="B217">
        <v>207</v>
      </c>
      <c r="C217" t="s">
        <v>449</v>
      </c>
      <c r="D217" t="s">
        <v>450</v>
      </c>
      <c r="E217" t="s">
        <v>450</v>
      </c>
      <c r="F217" cm="1">
        <f t="array" ref="F217">_xlfn.XLOOKUP(_xlfn.XLOOKUP(tblTags[[#This Row],[Tag]],db_drift!$B$2:$B$259,db_drift!$D$2:$D$259),tblInputTypes[[#All],[InputTypeName]],tblInputTypes[[#All],[InputTypeID]],"")</f>
        <v>4</v>
      </c>
      <c r="G217">
        <v>14</v>
      </c>
      <c r="H217">
        <v>1</v>
      </c>
      <c r="I217" t="str">
        <f>_xlfn.XLOOKUP(_xlfn.XLOOKUP(tblTags[[#This Row],[Tag]],db_drift!$B$2:$B$259,db_drift!$A$2:$A$259),tblDepartmentHeadings[DepartmentHeading],tblDepartmentHeadings[DepartmentHeadingID],"")</f>
        <v/>
      </c>
      <c r="J217">
        <v>9</v>
      </c>
      <c r="K217" t="str">
        <f>_xlfn.XLOOKUP(_xlfn.XLOOKUP(tblTags[[#This Row],[Tag]],db_drift!$B$2:$B$259,db_drift!$E$2:$E$259),tblFuelTypes[FuelType],tblFuelTypes[FuelTypeID],"")</f>
        <v/>
      </c>
      <c r="L217" t="str">
        <f>_xlfn.XLOOKUP(_xlfn.XLOOKUP(tblTags[[#This Row],[Tag]],db_drift!$B$2:$B$259,db_drift!$F$2:$F$259),tblFuelAllocations[FuelAllocation],tblFuelAllocations[FuelAllocationID],"")</f>
        <v/>
      </c>
      <c r="M217">
        <f>_xlfn.XLOOKUP(tblTags[[#This Row],[Tag]],tblHelpCalc1[Tag],tblHelpCalc1[Calc1ID],"")</f>
        <v>55</v>
      </c>
      <c r="N217" t="str">
        <f>_xlfn.XLOOKUP(tblTags[[#This Row],[Tag]],tblHelpCalc2[Tag],tblHelpCalc2[Calc2ID],"")</f>
        <v/>
      </c>
      <c r="O217" s="2" t="str">
        <f>_xlfn.XLOOKUP(_xlfn.XLOOKUP(tblTags[[#This Row],[Tag]],tblDbDrift[Tag],tblDbDrift[Hide Tags]),tblHideTags[HideTag],tblHideTags[ID],"")</f>
        <v/>
      </c>
      <c r="P217" s="2"/>
      <c r="Q217" s="2" t="s">
        <v>781</v>
      </c>
      <c r="R217" s="2"/>
      <c r="S217" s="2"/>
    </row>
    <row r="218" spans="1:19" x14ac:dyDescent="0.2">
      <c r="A218">
        <v>208</v>
      </c>
      <c r="B218">
        <v>208</v>
      </c>
      <c r="C218" t="s">
        <v>451</v>
      </c>
      <c r="D218" t="s">
        <v>452</v>
      </c>
      <c r="E218" t="s">
        <v>452</v>
      </c>
      <c r="F218" cm="1">
        <f t="array" ref="F218">_xlfn.XLOOKUP(_xlfn.XLOOKUP(tblTags[[#This Row],[Tag]],db_drift!$B$2:$B$259,db_drift!$D$2:$D$259),tblInputTypes[[#All],[InputTypeName]],tblInputTypes[[#All],[InputTypeID]],"")</f>
        <v>4</v>
      </c>
      <c r="G218">
        <v>14</v>
      </c>
      <c r="H218">
        <v>1</v>
      </c>
      <c r="I218" t="str">
        <f>_xlfn.XLOOKUP(_xlfn.XLOOKUP(tblTags[[#This Row],[Tag]],db_drift!$B$2:$B$259,db_drift!$A$2:$A$259),tblDepartmentHeadings[DepartmentHeading],tblDepartmentHeadings[DepartmentHeadingID],"")</f>
        <v/>
      </c>
      <c r="J218">
        <v>9</v>
      </c>
      <c r="K218" t="str">
        <f>_xlfn.XLOOKUP(_xlfn.XLOOKUP(tblTags[[#This Row],[Tag]],db_drift!$B$2:$B$259,db_drift!$E$2:$E$259),tblFuelTypes[FuelType],tblFuelTypes[FuelTypeID],"")</f>
        <v/>
      </c>
      <c r="L218" t="str">
        <f>_xlfn.XLOOKUP(_xlfn.XLOOKUP(tblTags[[#This Row],[Tag]],db_drift!$B$2:$B$259,db_drift!$F$2:$F$259),tblFuelAllocations[FuelAllocation],tblFuelAllocations[FuelAllocationID],"")</f>
        <v/>
      </c>
      <c r="M218">
        <f>_xlfn.XLOOKUP(tblTags[[#This Row],[Tag]],tblHelpCalc1[Tag],tblHelpCalc1[Calc1ID],"")</f>
        <v>56</v>
      </c>
      <c r="N218" t="str">
        <f>_xlfn.XLOOKUP(tblTags[[#This Row],[Tag]],tblHelpCalc2[Tag],tblHelpCalc2[Calc2ID],"")</f>
        <v/>
      </c>
      <c r="O218" s="2" t="str">
        <f>_xlfn.XLOOKUP(_xlfn.XLOOKUP(tblTags[[#This Row],[Tag]],tblDbDrift[Tag],tblDbDrift[Hide Tags]),tblHideTags[HideTag],tblHideTags[ID],"")</f>
        <v/>
      </c>
      <c r="P218" s="2"/>
      <c r="Q218" s="2" t="s">
        <v>782</v>
      </c>
      <c r="R218" s="2"/>
      <c r="S218" s="2"/>
    </row>
    <row r="219" spans="1:19" x14ac:dyDescent="0.2">
      <c r="A219">
        <v>209</v>
      </c>
      <c r="B219">
        <v>209</v>
      </c>
      <c r="C219" t="s">
        <v>4</v>
      </c>
      <c r="F219" t="str" cm="1">
        <f t="array" ref="F219">_xlfn.XLOOKUP(_xlfn.XLOOKUP(tblTags[[#This Row],[Tag]],db_drift!$B$2:$B$259,db_drift!$D$2:$D$259),tblInputTypes[[#All],[InputTypeName]],tblInputTypes[[#All],[InputTypeID]],"")</f>
        <v/>
      </c>
      <c r="H219">
        <v>1</v>
      </c>
      <c r="I219" t="str">
        <f>_xlfn.XLOOKUP(_xlfn.XLOOKUP(tblTags[[#This Row],[Tag]],db_drift!$B$2:$B$259,db_drift!$A$2:$A$259),tblDepartmentHeadings[DepartmentHeading],tblDepartmentHeadings[DepartmentHeadingID],"")</f>
        <v/>
      </c>
      <c r="K219" t="str">
        <f>_xlfn.XLOOKUP(_xlfn.XLOOKUP(tblTags[[#This Row],[Tag]],db_drift!$B$2:$B$259,db_drift!$E$2:$E$259),tblFuelTypes[FuelType],tblFuelTypes[FuelTypeID],"")</f>
        <v/>
      </c>
      <c r="L219" t="str">
        <f>_xlfn.XLOOKUP(_xlfn.XLOOKUP(tblTags[[#This Row],[Tag]],db_drift!$B$2:$B$259,db_drift!$F$2:$F$259),tblFuelAllocations[FuelAllocation],tblFuelAllocations[FuelAllocationID],"")</f>
        <v/>
      </c>
      <c r="M219" t="str">
        <f>_xlfn.XLOOKUP(tblTags[[#This Row],[Tag]],tblHelpCalc1[Tag],tblHelpCalc1[Calc1ID],"")</f>
        <v/>
      </c>
      <c r="N219" t="str">
        <f>_xlfn.XLOOKUP(tblTags[[#This Row],[Tag]],tblHelpCalc2[Tag],tblHelpCalc2[Calc2ID],"")</f>
        <v/>
      </c>
      <c r="O219" s="2" t="str">
        <f>_xlfn.XLOOKUP(_xlfn.XLOOKUP(tblTags[[#This Row],[Tag]],tblDbDrift[Tag],tblDbDrift[Hide Tags]),tblHideTags[HideTag],tblHideTags[ID],"")</f>
        <v/>
      </c>
      <c r="P219" s="2"/>
      <c r="Q219" s="2" t="s">
        <v>783</v>
      </c>
      <c r="R219" s="2"/>
      <c r="S219" s="2"/>
    </row>
    <row r="220" spans="1:19" x14ac:dyDescent="0.2">
      <c r="A220">
        <v>210</v>
      </c>
      <c r="B220">
        <v>210</v>
      </c>
      <c r="C220" t="s">
        <v>277</v>
      </c>
      <c r="D220" t="s">
        <v>453</v>
      </c>
      <c r="E220" s="2" t="s">
        <v>453</v>
      </c>
      <c r="F220" cm="1">
        <f t="array" ref="F220">_xlfn.XLOOKUP(_xlfn.XLOOKUP(tblTags[[#This Row],[Tag]],db_drift!$B$2:$B$259,db_drift!$D$2:$D$259),tblInputTypes[[#All],[InputTypeName]],tblInputTypes[[#All],[InputTypeID]],"")</f>
        <v>4</v>
      </c>
      <c r="G220">
        <v>3</v>
      </c>
      <c r="I220">
        <f>_xlfn.XLOOKUP(_xlfn.XLOOKUP(tblTags[[#This Row],[Tag]],db_drift!$B$2:$B$259,db_drift!$A$2:$A$259),tblDepartmentHeadings[DepartmentHeading],tblDepartmentHeadings[DepartmentHeadingID],"")</f>
        <v>16</v>
      </c>
      <c r="J220">
        <v>3</v>
      </c>
      <c r="K220" t="str">
        <f>_xlfn.XLOOKUP(_xlfn.XLOOKUP(tblTags[[#This Row],[Tag]],db_drift!$B$2:$B$259,db_drift!$E$2:$E$259),tblFuelTypes[FuelType],tblFuelTypes[FuelTypeID],"")</f>
        <v/>
      </c>
      <c r="L220" t="str">
        <f>_xlfn.XLOOKUP(_xlfn.XLOOKUP(tblTags[[#This Row],[Tag]],db_drift!$B$2:$B$259,db_drift!$F$2:$F$259),tblFuelAllocations[FuelAllocation],tblFuelAllocations[FuelAllocationID],"")</f>
        <v/>
      </c>
      <c r="M220">
        <f>_xlfn.XLOOKUP(tblTags[[#This Row],[Tag]],tblHelpCalc1[Tag],tblHelpCalc1[Calc1ID],"")</f>
        <v>57</v>
      </c>
      <c r="N220" t="str">
        <f>_xlfn.XLOOKUP(tblTags[[#This Row],[Tag]],tblHelpCalc2[Tag],tblHelpCalc2[Calc2ID],"")</f>
        <v/>
      </c>
      <c r="O220" s="2" t="str">
        <f>_xlfn.XLOOKUP(_xlfn.XLOOKUP(tblTags[[#This Row],[Tag]],tblDbDrift[Tag],tblDbDrift[Hide Tags]),tblHideTags[HideTag],tblHideTags[ID],"")</f>
        <v/>
      </c>
      <c r="P220" s="2"/>
      <c r="Q220" s="2" t="s">
        <v>784</v>
      </c>
      <c r="R220" s="2"/>
      <c r="S220" s="2"/>
    </row>
    <row r="221" spans="1:19" x14ac:dyDescent="0.2">
      <c r="A221">
        <v>211</v>
      </c>
      <c r="B221">
        <v>211</v>
      </c>
      <c r="C221" t="s">
        <v>278</v>
      </c>
      <c r="D221" t="s">
        <v>454</v>
      </c>
      <c r="E221" s="2" t="s">
        <v>454</v>
      </c>
      <c r="F221" cm="1">
        <f t="array" ref="F221">_xlfn.XLOOKUP(_xlfn.XLOOKUP(tblTags[[#This Row],[Tag]],db_drift!$B$2:$B$259,db_drift!$D$2:$D$259),tblInputTypes[[#All],[InputTypeName]],tblInputTypes[[#All],[InputTypeID]],"")</f>
        <v>4</v>
      </c>
      <c r="G221">
        <v>3</v>
      </c>
      <c r="I221" t="str">
        <f>_xlfn.XLOOKUP(_xlfn.XLOOKUP(tblTags[[#This Row],[Tag]],db_drift!$B$2:$B$259,db_drift!$A$2:$A$259),tblDepartmentHeadings[DepartmentHeading],tblDepartmentHeadings[DepartmentHeadingID],"")</f>
        <v/>
      </c>
      <c r="J221">
        <v>9</v>
      </c>
      <c r="K221" t="str">
        <f>_xlfn.XLOOKUP(_xlfn.XLOOKUP(tblTags[[#This Row],[Tag]],db_drift!$B$2:$B$259,db_drift!$E$2:$E$259),tblFuelTypes[FuelType],tblFuelTypes[FuelTypeID],"")</f>
        <v/>
      </c>
      <c r="L221" t="str">
        <f>_xlfn.XLOOKUP(_xlfn.XLOOKUP(tblTags[[#This Row],[Tag]],db_drift!$B$2:$B$259,db_drift!$F$2:$F$259),tblFuelAllocations[FuelAllocation],tblFuelAllocations[FuelAllocationID],"")</f>
        <v/>
      </c>
      <c r="M221">
        <f>_xlfn.XLOOKUP(tblTags[[#This Row],[Tag]],tblHelpCalc1[Tag],tblHelpCalc1[Calc1ID],"")</f>
        <v>58</v>
      </c>
      <c r="N221" t="str">
        <f>_xlfn.XLOOKUP(tblTags[[#This Row],[Tag]],tblHelpCalc2[Tag],tblHelpCalc2[Calc2ID],"")</f>
        <v/>
      </c>
      <c r="O221" s="2" t="str">
        <f>_xlfn.XLOOKUP(_xlfn.XLOOKUP(tblTags[[#This Row],[Tag]],tblDbDrift[Tag],tblDbDrift[Hide Tags]),tblHideTags[HideTag],tblHideTags[ID],"")</f>
        <v/>
      </c>
      <c r="P221" s="2"/>
      <c r="Q221" s="2" t="s">
        <v>785</v>
      </c>
      <c r="R221" s="2"/>
      <c r="S221" s="2"/>
    </row>
    <row r="222" spans="1:19" x14ac:dyDescent="0.2">
      <c r="A222">
        <v>212</v>
      </c>
      <c r="B222">
        <v>212</v>
      </c>
      <c r="C222" t="s">
        <v>279</v>
      </c>
      <c r="D222" t="s">
        <v>455</v>
      </c>
      <c r="E222" s="2" t="s">
        <v>455</v>
      </c>
      <c r="F222" cm="1">
        <f t="array" ref="F222">_xlfn.XLOOKUP(_xlfn.XLOOKUP(tblTags[[#This Row],[Tag]],db_drift!$B$2:$B$259,db_drift!$D$2:$D$259),tblInputTypes[[#All],[InputTypeName]],tblInputTypes[[#All],[InputTypeID]],"")</f>
        <v>4</v>
      </c>
      <c r="G222">
        <v>3</v>
      </c>
      <c r="I222" t="str">
        <f>_xlfn.XLOOKUP(_xlfn.XLOOKUP(tblTags[[#This Row],[Tag]],db_drift!$B$2:$B$259,db_drift!$A$2:$A$259),tblDepartmentHeadings[DepartmentHeading],tblDepartmentHeadings[DepartmentHeadingID],"")</f>
        <v/>
      </c>
      <c r="J222">
        <v>7</v>
      </c>
      <c r="K222" t="str">
        <f>_xlfn.XLOOKUP(_xlfn.XLOOKUP(tblTags[[#This Row],[Tag]],db_drift!$B$2:$B$259,db_drift!$E$2:$E$259),tblFuelTypes[FuelType],tblFuelTypes[FuelTypeID],"")</f>
        <v/>
      </c>
      <c r="L222" t="str">
        <f>_xlfn.XLOOKUP(_xlfn.XLOOKUP(tblTags[[#This Row],[Tag]],db_drift!$B$2:$B$259,db_drift!$F$2:$F$259),tblFuelAllocations[FuelAllocation],tblFuelAllocations[FuelAllocationID],"")</f>
        <v/>
      </c>
      <c r="M222" t="str">
        <f>_xlfn.XLOOKUP(tblTags[[#This Row],[Tag]],tblHelpCalc1[Tag],tblHelpCalc1[Calc1ID],"")</f>
        <v/>
      </c>
      <c r="N222" t="str">
        <f>_xlfn.XLOOKUP(tblTags[[#This Row],[Tag]],tblHelpCalc2[Tag],tblHelpCalc2[Calc2ID],"")</f>
        <v/>
      </c>
      <c r="O222" s="2" t="str">
        <f>_xlfn.XLOOKUP(_xlfn.XLOOKUP(tblTags[[#This Row],[Tag]],tblDbDrift[Tag],tblDbDrift[Hide Tags]),tblHideTags[HideTag],tblHideTags[ID],"")</f>
        <v/>
      </c>
      <c r="P222" s="2"/>
      <c r="Q222" s="2" t="s">
        <v>786</v>
      </c>
      <c r="R222" s="2"/>
      <c r="S222" s="2"/>
    </row>
    <row r="223" spans="1:19" x14ac:dyDescent="0.2">
      <c r="A223">
        <v>213</v>
      </c>
      <c r="B223">
        <v>213</v>
      </c>
      <c r="C223" t="s">
        <v>280</v>
      </c>
      <c r="D223" t="s">
        <v>456</v>
      </c>
      <c r="E223" s="2" t="s">
        <v>456</v>
      </c>
      <c r="F223" cm="1">
        <f t="array" ref="F223">_xlfn.XLOOKUP(_xlfn.XLOOKUP(tblTags[[#This Row],[Tag]],db_drift!$B$2:$B$259,db_drift!$D$2:$D$259),tblInputTypes[[#All],[InputTypeName]],tblInputTypes[[#All],[InputTypeID]],"")</f>
        <v>4</v>
      </c>
      <c r="G223">
        <v>3</v>
      </c>
      <c r="I223" t="str">
        <f>_xlfn.XLOOKUP(_xlfn.XLOOKUP(tblTags[[#This Row],[Tag]],db_drift!$B$2:$B$259,db_drift!$A$2:$A$259),tblDepartmentHeadings[DepartmentHeading],tblDepartmentHeadings[DepartmentHeadingID],"")</f>
        <v/>
      </c>
      <c r="J223">
        <v>8</v>
      </c>
      <c r="K223" t="str">
        <f>_xlfn.XLOOKUP(_xlfn.XLOOKUP(tblTags[[#This Row],[Tag]],db_drift!$B$2:$B$259,db_drift!$E$2:$E$259),tblFuelTypes[FuelType],tblFuelTypes[FuelTypeID],"")</f>
        <v/>
      </c>
      <c r="L223" t="str">
        <f>_xlfn.XLOOKUP(_xlfn.XLOOKUP(tblTags[[#This Row],[Tag]],db_drift!$B$2:$B$259,db_drift!$F$2:$F$259),tblFuelAllocations[FuelAllocation],tblFuelAllocations[FuelAllocationID],"")</f>
        <v/>
      </c>
      <c r="M223" t="str">
        <f>_xlfn.XLOOKUP(tblTags[[#This Row],[Tag]],tblHelpCalc1[Tag],tblHelpCalc1[Calc1ID],"")</f>
        <v/>
      </c>
      <c r="N223" t="str">
        <f>_xlfn.XLOOKUP(tblTags[[#This Row],[Tag]],tblHelpCalc2[Tag],tblHelpCalc2[Calc2ID],"")</f>
        <v/>
      </c>
      <c r="O223" s="2" t="str">
        <f>_xlfn.XLOOKUP(_xlfn.XLOOKUP(tblTags[[#This Row],[Tag]],tblDbDrift[Tag],tblDbDrift[Hide Tags]),tblHideTags[HideTag],tblHideTags[ID],"")</f>
        <v/>
      </c>
      <c r="P223" s="2"/>
      <c r="Q223" s="2" t="s">
        <v>787</v>
      </c>
      <c r="R223" s="2"/>
      <c r="S223" s="2"/>
    </row>
    <row r="224" spans="1:19" x14ac:dyDescent="0.2">
      <c r="A224">
        <v>214</v>
      </c>
      <c r="B224">
        <v>214</v>
      </c>
      <c r="C224" t="s">
        <v>281</v>
      </c>
      <c r="D224" t="s">
        <v>457</v>
      </c>
      <c r="E224" s="2" t="s">
        <v>457</v>
      </c>
      <c r="F224" cm="1">
        <f t="array" ref="F224">_xlfn.XLOOKUP(_xlfn.XLOOKUP(tblTags[[#This Row],[Tag]],db_drift!$B$2:$B$259,db_drift!$D$2:$D$259),tblInputTypes[[#All],[InputTypeName]],tblInputTypes[[#All],[InputTypeID]],"")</f>
        <v>4</v>
      </c>
      <c r="G224">
        <v>3</v>
      </c>
      <c r="I224" t="str">
        <f>_xlfn.XLOOKUP(_xlfn.XLOOKUP(tblTags[[#This Row],[Tag]],db_drift!$B$2:$B$259,db_drift!$A$2:$A$259),tblDepartmentHeadings[DepartmentHeading],tblDepartmentHeadings[DepartmentHeadingID],"")</f>
        <v/>
      </c>
      <c r="J224">
        <v>6</v>
      </c>
      <c r="K224" t="str">
        <f>_xlfn.XLOOKUP(_xlfn.XLOOKUP(tblTags[[#This Row],[Tag]],db_drift!$B$2:$B$259,db_drift!$E$2:$E$259),tblFuelTypes[FuelType],tblFuelTypes[FuelTypeID],"")</f>
        <v/>
      </c>
      <c r="L224" t="str">
        <f>_xlfn.XLOOKUP(_xlfn.XLOOKUP(tblTags[[#This Row],[Tag]],db_drift!$B$2:$B$259,db_drift!$F$2:$F$259),tblFuelAllocations[FuelAllocation],tblFuelAllocations[FuelAllocationID],"")</f>
        <v/>
      </c>
      <c r="M224">
        <f>_xlfn.XLOOKUP(tblTags[[#This Row],[Tag]],tblHelpCalc1[Tag],tblHelpCalc1[Calc1ID],"")</f>
        <v>59</v>
      </c>
      <c r="N224" t="str">
        <f>_xlfn.XLOOKUP(tblTags[[#This Row],[Tag]],tblHelpCalc2[Tag],tblHelpCalc2[Calc2ID],"")</f>
        <v/>
      </c>
      <c r="O224" s="2" t="str">
        <f>_xlfn.XLOOKUP(_xlfn.XLOOKUP(tblTags[[#This Row],[Tag]],tblDbDrift[Tag],tblDbDrift[Hide Tags]),tblHideTags[HideTag],tblHideTags[ID],"")</f>
        <v/>
      </c>
      <c r="P224" s="2"/>
      <c r="Q224" s="2" t="s">
        <v>788</v>
      </c>
      <c r="R224" s="2"/>
      <c r="S224" s="2"/>
    </row>
    <row r="225" spans="1:19" x14ac:dyDescent="0.2">
      <c r="A225">
        <v>215</v>
      </c>
      <c r="B225">
        <v>215</v>
      </c>
      <c r="C225" t="s">
        <v>282</v>
      </c>
      <c r="D225" t="s">
        <v>458</v>
      </c>
      <c r="E225" s="2" t="s">
        <v>458</v>
      </c>
      <c r="F225" cm="1">
        <f t="array" ref="F225">_xlfn.XLOOKUP(_xlfn.XLOOKUP(tblTags[[#This Row],[Tag]],db_drift!$B$2:$B$259,db_drift!$D$2:$D$259),tblInputTypes[[#All],[InputTypeName]],tblInputTypes[[#All],[InputTypeID]],"")</f>
        <v>4</v>
      </c>
      <c r="G225">
        <v>3</v>
      </c>
      <c r="I225" t="str">
        <f>_xlfn.XLOOKUP(_xlfn.XLOOKUP(tblTags[[#This Row],[Tag]],db_drift!$B$2:$B$259,db_drift!$A$2:$A$259),tblDepartmentHeadings[DepartmentHeading],tblDepartmentHeadings[DepartmentHeadingID],"")</f>
        <v/>
      </c>
      <c r="J225">
        <v>7</v>
      </c>
      <c r="K225" t="str">
        <f>_xlfn.XLOOKUP(_xlfn.XLOOKUP(tblTags[[#This Row],[Tag]],db_drift!$B$2:$B$259,db_drift!$E$2:$E$259),tblFuelTypes[FuelType],tblFuelTypes[FuelTypeID],"")</f>
        <v/>
      </c>
      <c r="L225" t="str">
        <f>_xlfn.XLOOKUP(_xlfn.XLOOKUP(tblTags[[#This Row],[Tag]],db_drift!$B$2:$B$259,db_drift!$F$2:$F$259),tblFuelAllocations[FuelAllocation],tblFuelAllocations[FuelAllocationID],"")</f>
        <v/>
      </c>
      <c r="M225">
        <f>_xlfn.XLOOKUP(tblTags[[#This Row],[Tag]],tblHelpCalc1[Tag],tblHelpCalc1[Calc1ID],"")</f>
        <v>60</v>
      </c>
      <c r="N225" t="str">
        <f>_xlfn.XLOOKUP(tblTags[[#This Row],[Tag]],tblHelpCalc2[Tag],tblHelpCalc2[Calc2ID],"")</f>
        <v/>
      </c>
      <c r="O225" s="2" t="str">
        <f>_xlfn.XLOOKUP(_xlfn.XLOOKUP(tblTags[[#This Row],[Tag]],tblDbDrift[Tag],tblDbDrift[Hide Tags]),tblHideTags[HideTag],tblHideTags[ID],"")</f>
        <v/>
      </c>
      <c r="P225" s="2"/>
      <c r="Q225" s="2" t="s">
        <v>789</v>
      </c>
      <c r="R225" s="2"/>
      <c r="S225" s="2"/>
    </row>
    <row r="226" spans="1:19" x14ac:dyDescent="0.2">
      <c r="A226">
        <v>216</v>
      </c>
      <c r="B226">
        <v>216</v>
      </c>
      <c r="C226" t="s">
        <v>283</v>
      </c>
      <c r="D226" t="s">
        <v>459</v>
      </c>
      <c r="E226" s="2" t="s">
        <v>459</v>
      </c>
      <c r="F226" cm="1">
        <f t="array" ref="F226">_xlfn.XLOOKUP(_xlfn.XLOOKUP(tblTags[[#This Row],[Tag]],db_drift!$B$2:$B$259,db_drift!$D$2:$D$259),tblInputTypes[[#All],[InputTypeName]],tblInputTypes[[#All],[InputTypeID]],"")</f>
        <v>4</v>
      </c>
      <c r="G226">
        <v>3</v>
      </c>
      <c r="I226" t="str">
        <f>_xlfn.XLOOKUP(_xlfn.XLOOKUP(tblTags[[#This Row],[Tag]],db_drift!$B$2:$B$259,db_drift!$A$2:$A$259),tblDepartmentHeadings[DepartmentHeading],tblDepartmentHeadings[DepartmentHeadingID],"")</f>
        <v/>
      </c>
      <c r="J226">
        <v>7</v>
      </c>
      <c r="K226" t="str">
        <f>_xlfn.XLOOKUP(_xlfn.XLOOKUP(tblTags[[#This Row],[Tag]],db_drift!$B$2:$B$259,db_drift!$E$2:$E$259),tblFuelTypes[FuelType],tblFuelTypes[FuelTypeID],"")</f>
        <v/>
      </c>
      <c r="L226" t="str">
        <f>_xlfn.XLOOKUP(_xlfn.XLOOKUP(tblTags[[#This Row],[Tag]],db_drift!$B$2:$B$259,db_drift!$F$2:$F$259),tblFuelAllocations[FuelAllocation],tblFuelAllocations[FuelAllocationID],"")</f>
        <v/>
      </c>
      <c r="M226">
        <f>_xlfn.XLOOKUP(tblTags[[#This Row],[Tag]],tblHelpCalc1[Tag],tblHelpCalc1[Calc1ID],"")</f>
        <v>61</v>
      </c>
      <c r="N226" t="str">
        <f>_xlfn.XLOOKUP(tblTags[[#This Row],[Tag]],tblHelpCalc2[Tag],tblHelpCalc2[Calc2ID],"")</f>
        <v/>
      </c>
      <c r="O226" s="2" t="str">
        <f>_xlfn.XLOOKUP(_xlfn.XLOOKUP(tblTags[[#This Row],[Tag]],tblDbDrift[Tag],tblDbDrift[Hide Tags]),tblHideTags[HideTag],tblHideTags[ID],"")</f>
        <v/>
      </c>
      <c r="P226" s="2"/>
      <c r="Q226" s="2" t="s">
        <v>790</v>
      </c>
      <c r="R226" s="2"/>
      <c r="S226" s="2"/>
    </row>
    <row r="227" spans="1:19" x14ac:dyDescent="0.2">
      <c r="A227">
        <v>217</v>
      </c>
      <c r="B227">
        <v>217</v>
      </c>
      <c r="C227" t="s">
        <v>284</v>
      </c>
      <c r="D227" t="s">
        <v>460</v>
      </c>
      <c r="E227" s="2" t="s">
        <v>460</v>
      </c>
      <c r="F227" cm="1">
        <f t="array" ref="F227">_xlfn.XLOOKUP(_xlfn.XLOOKUP(tblTags[[#This Row],[Tag]],db_drift!$B$2:$B$259,db_drift!$D$2:$D$259),tblInputTypes[[#All],[InputTypeName]],tblInputTypes[[#All],[InputTypeID]],"")</f>
        <v>4</v>
      </c>
      <c r="G227">
        <v>3</v>
      </c>
      <c r="I227" t="str">
        <f>_xlfn.XLOOKUP(_xlfn.XLOOKUP(tblTags[[#This Row],[Tag]],db_drift!$B$2:$B$259,db_drift!$A$2:$A$259),tblDepartmentHeadings[DepartmentHeading],tblDepartmentHeadings[DepartmentHeadingID],"")</f>
        <v/>
      </c>
      <c r="J227">
        <v>7</v>
      </c>
      <c r="K227" t="str">
        <f>_xlfn.XLOOKUP(_xlfn.XLOOKUP(tblTags[[#This Row],[Tag]],db_drift!$B$2:$B$259,db_drift!$E$2:$E$259),tblFuelTypes[FuelType],tblFuelTypes[FuelTypeID],"")</f>
        <v/>
      </c>
      <c r="L227" t="str">
        <f>_xlfn.XLOOKUP(_xlfn.XLOOKUP(tblTags[[#This Row],[Tag]],db_drift!$B$2:$B$259,db_drift!$F$2:$F$259),tblFuelAllocations[FuelAllocation],tblFuelAllocations[FuelAllocationID],"")</f>
        <v/>
      </c>
      <c r="M227">
        <f>_xlfn.XLOOKUP(tblTags[[#This Row],[Tag]],tblHelpCalc1[Tag],tblHelpCalc1[Calc1ID],"")</f>
        <v>62</v>
      </c>
      <c r="N227" t="str">
        <f>_xlfn.XLOOKUP(tblTags[[#This Row],[Tag]],tblHelpCalc2[Tag],tblHelpCalc2[Calc2ID],"")</f>
        <v/>
      </c>
      <c r="O227" s="2" t="str">
        <f>_xlfn.XLOOKUP(_xlfn.XLOOKUP(tblTags[[#This Row],[Tag]],tblDbDrift[Tag],tblDbDrift[Hide Tags]),tblHideTags[HideTag],tblHideTags[ID],"")</f>
        <v/>
      </c>
      <c r="P227" s="2"/>
      <c r="Q227" s="2" t="s">
        <v>791</v>
      </c>
      <c r="R227" s="2"/>
      <c r="S227" s="2"/>
    </row>
    <row r="228" spans="1:19" x14ac:dyDescent="0.2">
      <c r="A228">
        <v>218</v>
      </c>
      <c r="B228">
        <v>218</v>
      </c>
      <c r="C228" t="s">
        <v>285</v>
      </c>
      <c r="D228" t="s">
        <v>461</v>
      </c>
      <c r="E228" s="2" t="s">
        <v>461</v>
      </c>
      <c r="F228" cm="1">
        <f t="array" ref="F228">_xlfn.XLOOKUP(_xlfn.XLOOKUP(tblTags[[#This Row],[Tag]],db_drift!$B$2:$B$259,db_drift!$D$2:$D$259),tblInputTypes[[#All],[InputTypeName]],tblInputTypes[[#All],[InputTypeID]],"")</f>
        <v>4</v>
      </c>
      <c r="G228">
        <v>3</v>
      </c>
      <c r="I228" t="str">
        <f>_xlfn.XLOOKUP(_xlfn.XLOOKUP(tblTags[[#This Row],[Tag]],db_drift!$B$2:$B$259,db_drift!$A$2:$A$259),tblDepartmentHeadings[DepartmentHeading],tblDepartmentHeadings[DepartmentHeadingID],"")</f>
        <v/>
      </c>
      <c r="J228">
        <v>7</v>
      </c>
      <c r="K228" t="str">
        <f>_xlfn.XLOOKUP(_xlfn.XLOOKUP(tblTags[[#This Row],[Tag]],db_drift!$B$2:$B$259,db_drift!$E$2:$E$259),tblFuelTypes[FuelType],tblFuelTypes[FuelTypeID],"")</f>
        <v/>
      </c>
      <c r="L228" t="str">
        <f>_xlfn.XLOOKUP(_xlfn.XLOOKUP(tblTags[[#This Row],[Tag]],db_drift!$B$2:$B$259,db_drift!$F$2:$F$259),tblFuelAllocations[FuelAllocation],tblFuelAllocations[FuelAllocationID],"")</f>
        <v/>
      </c>
      <c r="M228">
        <f>_xlfn.XLOOKUP(tblTags[[#This Row],[Tag]],tblHelpCalc1[Tag],tblHelpCalc1[Calc1ID],"")</f>
        <v>63</v>
      </c>
      <c r="N228" t="str">
        <f>_xlfn.XLOOKUP(tblTags[[#This Row],[Tag]],tblHelpCalc2[Tag],tblHelpCalc2[Calc2ID],"")</f>
        <v/>
      </c>
      <c r="O228" s="2" t="str">
        <f>_xlfn.XLOOKUP(_xlfn.XLOOKUP(tblTags[[#This Row],[Tag]],tblDbDrift[Tag],tblDbDrift[Hide Tags]),tblHideTags[HideTag],tblHideTags[ID],"")</f>
        <v/>
      </c>
      <c r="P228" s="2"/>
      <c r="Q228" s="2" t="s">
        <v>792</v>
      </c>
      <c r="R228" s="2"/>
      <c r="S228" s="2"/>
    </row>
    <row r="229" spans="1:19" x14ac:dyDescent="0.2">
      <c r="A229">
        <v>219</v>
      </c>
      <c r="B229">
        <v>219</v>
      </c>
      <c r="C229" t="s">
        <v>286</v>
      </c>
      <c r="D229" t="s">
        <v>462</v>
      </c>
      <c r="E229" s="2" t="s">
        <v>462</v>
      </c>
      <c r="F229" cm="1">
        <f t="array" ref="F229">_xlfn.XLOOKUP(_xlfn.XLOOKUP(tblTags[[#This Row],[Tag]],db_drift!$B$2:$B$259,db_drift!$D$2:$D$259),tblInputTypes[[#All],[InputTypeName]],tblInputTypes[[#All],[InputTypeID]],"")</f>
        <v>4</v>
      </c>
      <c r="G229">
        <v>3</v>
      </c>
      <c r="I229" t="str">
        <f>_xlfn.XLOOKUP(_xlfn.XLOOKUP(tblTags[[#This Row],[Tag]],db_drift!$B$2:$B$259,db_drift!$A$2:$A$259),tblDepartmentHeadings[DepartmentHeading],tblDepartmentHeadings[DepartmentHeadingID],"")</f>
        <v/>
      </c>
      <c r="J229">
        <v>7</v>
      </c>
      <c r="K229" t="str">
        <f>_xlfn.XLOOKUP(_xlfn.XLOOKUP(tblTags[[#This Row],[Tag]],db_drift!$B$2:$B$259,db_drift!$E$2:$E$259),tblFuelTypes[FuelType],tblFuelTypes[FuelTypeID],"")</f>
        <v/>
      </c>
      <c r="L229" t="str">
        <f>_xlfn.XLOOKUP(_xlfn.XLOOKUP(tblTags[[#This Row],[Tag]],db_drift!$B$2:$B$259,db_drift!$F$2:$F$259),tblFuelAllocations[FuelAllocation],tblFuelAllocations[FuelAllocationID],"")</f>
        <v/>
      </c>
      <c r="M229">
        <f>_xlfn.XLOOKUP(tblTags[[#This Row],[Tag]],tblHelpCalc1[Tag],tblHelpCalc1[Calc1ID],"")</f>
        <v>64</v>
      </c>
      <c r="N229" t="str">
        <f>_xlfn.XLOOKUP(tblTags[[#This Row],[Tag]],tblHelpCalc2[Tag],tblHelpCalc2[Calc2ID],"")</f>
        <v/>
      </c>
      <c r="O229" s="2" t="str">
        <f>_xlfn.XLOOKUP(_xlfn.XLOOKUP(tblTags[[#This Row],[Tag]],tblDbDrift[Tag],tblDbDrift[Hide Tags]),tblHideTags[HideTag],tblHideTags[ID],"")</f>
        <v/>
      </c>
      <c r="P229" s="2"/>
      <c r="Q229" s="2" t="s">
        <v>793</v>
      </c>
      <c r="R229" s="2"/>
      <c r="S229" s="2"/>
    </row>
    <row r="230" spans="1:19" x14ac:dyDescent="0.2">
      <c r="A230">
        <v>220</v>
      </c>
      <c r="B230">
        <v>220</v>
      </c>
      <c r="C230" t="s">
        <v>287</v>
      </c>
      <c r="D230" t="s">
        <v>463</v>
      </c>
      <c r="E230" s="2" t="s">
        <v>463</v>
      </c>
      <c r="F230" cm="1">
        <f t="array" ref="F230">_xlfn.XLOOKUP(_xlfn.XLOOKUP(tblTags[[#This Row],[Tag]],db_drift!$B$2:$B$259,db_drift!$D$2:$D$259),tblInputTypes[[#All],[InputTypeName]],tblInputTypes[[#All],[InputTypeID]],"")</f>
        <v>4</v>
      </c>
      <c r="G230">
        <v>3</v>
      </c>
      <c r="I230" t="str">
        <f>_xlfn.XLOOKUP(_xlfn.XLOOKUP(tblTags[[#This Row],[Tag]],db_drift!$B$2:$B$259,db_drift!$A$2:$A$259),tblDepartmentHeadings[DepartmentHeading],tblDepartmentHeadings[DepartmentHeadingID],"")</f>
        <v/>
      </c>
      <c r="J230">
        <v>7</v>
      </c>
      <c r="K230" t="str">
        <f>_xlfn.XLOOKUP(_xlfn.XLOOKUP(tblTags[[#This Row],[Tag]],db_drift!$B$2:$B$259,db_drift!$E$2:$E$259),tblFuelTypes[FuelType],tblFuelTypes[FuelTypeID],"")</f>
        <v/>
      </c>
      <c r="L230" t="str">
        <f>_xlfn.XLOOKUP(_xlfn.XLOOKUP(tblTags[[#This Row],[Tag]],db_drift!$B$2:$B$259,db_drift!$F$2:$F$259),tblFuelAllocations[FuelAllocation],tblFuelAllocations[FuelAllocationID],"")</f>
        <v/>
      </c>
      <c r="M230">
        <f>_xlfn.XLOOKUP(tblTags[[#This Row],[Tag]],tblHelpCalc1[Tag],tblHelpCalc1[Calc1ID],"")</f>
        <v>65</v>
      </c>
      <c r="N230" t="str">
        <f>_xlfn.XLOOKUP(tblTags[[#This Row],[Tag]],tblHelpCalc2[Tag],tblHelpCalc2[Calc2ID],"")</f>
        <v/>
      </c>
      <c r="O230" s="2" t="str">
        <f>_xlfn.XLOOKUP(_xlfn.XLOOKUP(tblTags[[#This Row],[Tag]],tblDbDrift[Tag],tblDbDrift[Hide Tags]),tblHideTags[HideTag],tblHideTags[ID],"")</f>
        <v/>
      </c>
      <c r="P230" s="2"/>
      <c r="Q230" s="2" t="s">
        <v>794</v>
      </c>
      <c r="R230" s="2"/>
      <c r="S230" s="2"/>
    </row>
    <row r="231" spans="1:19" x14ac:dyDescent="0.2">
      <c r="A231">
        <v>221</v>
      </c>
      <c r="B231">
        <v>221</v>
      </c>
      <c r="C231" t="s">
        <v>288</v>
      </c>
      <c r="D231" t="s">
        <v>464</v>
      </c>
      <c r="E231" s="2" t="s">
        <v>464</v>
      </c>
      <c r="F231" cm="1">
        <f t="array" ref="F231">_xlfn.XLOOKUP(_xlfn.XLOOKUP(tblTags[[#This Row],[Tag]],db_drift!$B$2:$B$259,db_drift!$D$2:$D$259),tblInputTypes[[#All],[InputTypeName]],tblInputTypes[[#All],[InputTypeID]],"")</f>
        <v>4</v>
      </c>
      <c r="G231">
        <v>3</v>
      </c>
      <c r="I231" t="str">
        <f>_xlfn.XLOOKUP(_xlfn.XLOOKUP(tblTags[[#This Row],[Tag]],db_drift!$B$2:$B$259,db_drift!$A$2:$A$259),tblDepartmentHeadings[DepartmentHeading],tblDepartmentHeadings[DepartmentHeadingID],"")</f>
        <v/>
      </c>
      <c r="J231">
        <v>7</v>
      </c>
      <c r="K231" t="str">
        <f>_xlfn.XLOOKUP(_xlfn.XLOOKUP(tblTags[[#This Row],[Tag]],db_drift!$B$2:$B$259,db_drift!$E$2:$E$259),tblFuelTypes[FuelType],tblFuelTypes[FuelTypeID],"")</f>
        <v/>
      </c>
      <c r="L231" t="str">
        <f>_xlfn.XLOOKUP(_xlfn.XLOOKUP(tblTags[[#This Row],[Tag]],db_drift!$B$2:$B$259,db_drift!$F$2:$F$259),tblFuelAllocations[FuelAllocation],tblFuelAllocations[FuelAllocationID],"")</f>
        <v/>
      </c>
      <c r="M231">
        <f>_xlfn.XLOOKUP(tblTags[[#This Row],[Tag]],tblHelpCalc1[Tag],tblHelpCalc1[Calc1ID],"")</f>
        <v>66</v>
      </c>
      <c r="N231" t="str">
        <f>_xlfn.XLOOKUP(tblTags[[#This Row],[Tag]],tblHelpCalc2[Tag],tblHelpCalc2[Calc2ID],"")</f>
        <v/>
      </c>
      <c r="O231" s="2" t="str">
        <f>_xlfn.XLOOKUP(_xlfn.XLOOKUP(tblTags[[#This Row],[Tag]],tblDbDrift[Tag],tblDbDrift[Hide Tags]),tblHideTags[HideTag],tblHideTags[ID],"")</f>
        <v/>
      </c>
      <c r="P231" s="2"/>
      <c r="Q231" s="2" t="s">
        <v>795</v>
      </c>
      <c r="R231" s="2"/>
      <c r="S231" s="2"/>
    </row>
    <row r="232" spans="1:19" x14ac:dyDescent="0.2">
      <c r="A232">
        <v>222</v>
      </c>
      <c r="B232">
        <v>222</v>
      </c>
      <c r="C232" t="s">
        <v>289</v>
      </c>
      <c r="E232" s="2"/>
      <c r="F232" t="str" cm="1">
        <f t="array" ref="F232">_xlfn.XLOOKUP(_xlfn.XLOOKUP(tblTags[[#This Row],[Tag]],db_drift!$B$2:$B$259,db_drift!$D$2:$D$259),tblInputTypes[[#All],[InputTypeName]],tblInputTypes[[#All],[InputTypeID]],"")</f>
        <v/>
      </c>
      <c r="I232" t="str">
        <f>_xlfn.XLOOKUP(_xlfn.XLOOKUP(tblTags[[#This Row],[Tag]],db_drift!$B$2:$B$259,db_drift!$A$2:$A$259),tblDepartmentHeadings[DepartmentHeading],tblDepartmentHeadings[DepartmentHeadingID],"")</f>
        <v/>
      </c>
      <c r="K232" t="str">
        <f>_xlfn.XLOOKUP(_xlfn.XLOOKUP(tblTags[[#This Row],[Tag]],db_drift!$B$2:$B$259,db_drift!$E$2:$E$259),tblFuelTypes[FuelType],tblFuelTypes[FuelTypeID],"")</f>
        <v/>
      </c>
      <c r="L232" t="str">
        <f>_xlfn.XLOOKUP(_xlfn.XLOOKUP(tblTags[[#This Row],[Tag]],db_drift!$B$2:$B$259,db_drift!$F$2:$F$259),tblFuelAllocations[FuelAllocation],tblFuelAllocations[FuelAllocationID],"")</f>
        <v/>
      </c>
      <c r="M232" t="str">
        <f>_xlfn.XLOOKUP(tblTags[[#This Row],[Tag]],tblHelpCalc1[Tag],tblHelpCalc1[Calc1ID],"")</f>
        <v/>
      </c>
      <c r="N232" t="str">
        <f>_xlfn.XLOOKUP(tblTags[[#This Row],[Tag]],tblHelpCalc2[Tag],tblHelpCalc2[Calc2ID],"")</f>
        <v/>
      </c>
      <c r="O232" s="2" t="str">
        <f>_xlfn.XLOOKUP(_xlfn.XLOOKUP(tblTags[[#This Row],[Tag]],tblDbDrift[Tag],tblDbDrift[Hide Tags]),tblHideTags[HideTag],tblHideTags[ID],"")</f>
        <v/>
      </c>
      <c r="P232" s="2"/>
      <c r="Q232" s="2" t="s">
        <v>796</v>
      </c>
      <c r="R232" s="2"/>
      <c r="S232" s="2"/>
    </row>
    <row r="233" spans="1:19" x14ac:dyDescent="0.2">
      <c r="A233">
        <v>223</v>
      </c>
      <c r="B233">
        <v>223</v>
      </c>
      <c r="C233" t="s">
        <v>290</v>
      </c>
      <c r="D233" t="s">
        <v>465</v>
      </c>
      <c r="E233" s="2" t="s">
        <v>465</v>
      </c>
      <c r="F233" cm="1">
        <f t="array" ref="F233">_xlfn.XLOOKUP(_xlfn.XLOOKUP(tblTags[[#This Row],[Tag]],db_drift!$B$2:$B$259,db_drift!$D$2:$D$259),tblInputTypes[[#All],[InputTypeName]],tblInputTypes[[#All],[InputTypeID]],"")</f>
        <v>4</v>
      </c>
      <c r="G233">
        <v>3</v>
      </c>
      <c r="I233">
        <f>_xlfn.XLOOKUP(_xlfn.XLOOKUP(tblTags[[#This Row],[Tag]],db_drift!$B$2:$B$259,db_drift!$A$2:$A$259),tblDepartmentHeadings[DepartmentHeading],tblDepartmentHeadings[DepartmentHeadingID],"")</f>
        <v>17</v>
      </c>
      <c r="J233">
        <v>3</v>
      </c>
      <c r="K233" t="str">
        <f>_xlfn.XLOOKUP(_xlfn.XLOOKUP(tblTags[[#This Row],[Tag]],db_drift!$B$2:$B$259,db_drift!$E$2:$E$259),tblFuelTypes[FuelType],tblFuelTypes[FuelTypeID],"")</f>
        <v/>
      </c>
      <c r="L233" t="str">
        <f>_xlfn.XLOOKUP(_xlfn.XLOOKUP(tblTags[[#This Row],[Tag]],db_drift!$B$2:$B$259,db_drift!$F$2:$F$259),tblFuelAllocations[FuelAllocation],tblFuelAllocations[FuelAllocationID],"")</f>
        <v/>
      </c>
      <c r="M233">
        <f>_xlfn.XLOOKUP(tblTags[[#This Row],[Tag]],tblHelpCalc1[Tag],tblHelpCalc1[Calc1ID],"")</f>
        <v>67</v>
      </c>
      <c r="N233" t="str">
        <f>_xlfn.XLOOKUP(tblTags[[#This Row],[Tag]],tblHelpCalc2[Tag],tblHelpCalc2[Calc2ID],"")</f>
        <v/>
      </c>
      <c r="O233" s="2" t="str">
        <f>_xlfn.XLOOKUP(_xlfn.XLOOKUP(tblTags[[#This Row],[Tag]],tblDbDrift[Tag],tblDbDrift[Hide Tags]),tblHideTags[HideTag],tblHideTags[ID],"")</f>
        <v/>
      </c>
      <c r="P233" s="2"/>
      <c r="Q233" s="2" t="s">
        <v>797</v>
      </c>
      <c r="R233" s="2"/>
      <c r="S233" s="2"/>
    </row>
    <row r="234" spans="1:19" x14ac:dyDescent="0.2">
      <c r="A234">
        <v>224</v>
      </c>
      <c r="B234">
        <v>224</v>
      </c>
      <c r="C234" t="s">
        <v>291</v>
      </c>
      <c r="D234" t="s">
        <v>466</v>
      </c>
      <c r="E234" s="2" t="s">
        <v>466</v>
      </c>
      <c r="F234" cm="1">
        <f t="array" ref="F234">_xlfn.XLOOKUP(_xlfn.XLOOKUP(tblTags[[#This Row],[Tag]],db_drift!$B$2:$B$259,db_drift!$D$2:$D$259),tblInputTypes[[#All],[InputTypeName]],tblInputTypes[[#All],[InputTypeID]],"")</f>
        <v>4</v>
      </c>
      <c r="G234">
        <v>3</v>
      </c>
      <c r="I234" t="str">
        <f>_xlfn.XLOOKUP(_xlfn.XLOOKUP(tblTags[[#This Row],[Tag]],db_drift!$B$2:$B$259,db_drift!$A$2:$A$259),tblDepartmentHeadings[DepartmentHeading],tblDepartmentHeadings[DepartmentHeadingID],"")</f>
        <v/>
      </c>
      <c r="J234">
        <v>9</v>
      </c>
      <c r="K234" t="str">
        <f>_xlfn.XLOOKUP(_xlfn.XLOOKUP(tblTags[[#This Row],[Tag]],db_drift!$B$2:$B$259,db_drift!$E$2:$E$259),tblFuelTypes[FuelType],tblFuelTypes[FuelTypeID],"")</f>
        <v/>
      </c>
      <c r="L234" t="str">
        <f>_xlfn.XLOOKUP(_xlfn.XLOOKUP(tblTags[[#This Row],[Tag]],db_drift!$B$2:$B$259,db_drift!$F$2:$F$259),tblFuelAllocations[FuelAllocation],tblFuelAllocations[FuelAllocationID],"")</f>
        <v/>
      </c>
      <c r="M234">
        <f>_xlfn.XLOOKUP(tblTags[[#This Row],[Tag]],tblHelpCalc1[Tag],tblHelpCalc1[Calc1ID],"")</f>
        <v>68</v>
      </c>
      <c r="N234" t="str">
        <f>_xlfn.XLOOKUP(tblTags[[#This Row],[Tag]],tblHelpCalc2[Tag],tblHelpCalc2[Calc2ID],"")</f>
        <v/>
      </c>
      <c r="O234" s="2" t="str">
        <f>_xlfn.XLOOKUP(_xlfn.XLOOKUP(tblTags[[#This Row],[Tag]],tblDbDrift[Tag],tblDbDrift[Hide Tags]),tblHideTags[HideTag],tblHideTags[ID],"")</f>
        <v/>
      </c>
      <c r="P234" s="2"/>
      <c r="Q234" s="2" t="s">
        <v>798</v>
      </c>
      <c r="R234" s="2"/>
      <c r="S234" s="2"/>
    </row>
    <row r="235" spans="1:19" x14ac:dyDescent="0.2">
      <c r="A235">
        <v>225</v>
      </c>
      <c r="B235">
        <v>225</v>
      </c>
      <c r="C235" t="s">
        <v>292</v>
      </c>
      <c r="D235" t="s">
        <v>467</v>
      </c>
      <c r="E235" s="2" t="s">
        <v>467</v>
      </c>
      <c r="F235" cm="1">
        <f t="array" ref="F235">_xlfn.XLOOKUP(_xlfn.XLOOKUP(tblTags[[#This Row],[Tag]],db_drift!$B$2:$B$259,db_drift!$D$2:$D$259),tblInputTypes[[#All],[InputTypeName]],tblInputTypes[[#All],[InputTypeID]],"")</f>
        <v>4</v>
      </c>
      <c r="G235">
        <v>3</v>
      </c>
      <c r="I235" t="str">
        <f>_xlfn.XLOOKUP(_xlfn.XLOOKUP(tblTags[[#This Row],[Tag]],db_drift!$B$2:$B$259,db_drift!$A$2:$A$259),tblDepartmentHeadings[DepartmentHeading],tblDepartmentHeadings[DepartmentHeadingID],"")</f>
        <v/>
      </c>
      <c r="J235">
        <v>7</v>
      </c>
      <c r="K235" t="str">
        <f>_xlfn.XLOOKUP(_xlfn.XLOOKUP(tblTags[[#This Row],[Tag]],db_drift!$B$2:$B$259,db_drift!$E$2:$E$259),tblFuelTypes[FuelType],tblFuelTypes[FuelTypeID],"")</f>
        <v/>
      </c>
      <c r="L235" t="str">
        <f>_xlfn.XLOOKUP(_xlfn.XLOOKUP(tblTags[[#This Row],[Tag]],db_drift!$B$2:$B$259,db_drift!$F$2:$F$259),tblFuelAllocations[FuelAllocation],tblFuelAllocations[FuelAllocationID],"")</f>
        <v/>
      </c>
      <c r="M235" t="str">
        <f>_xlfn.XLOOKUP(tblTags[[#This Row],[Tag]],tblHelpCalc1[Tag],tblHelpCalc1[Calc1ID],"")</f>
        <v/>
      </c>
      <c r="N235" t="str">
        <f>_xlfn.XLOOKUP(tblTags[[#This Row],[Tag]],tblHelpCalc2[Tag],tblHelpCalc2[Calc2ID],"")</f>
        <v/>
      </c>
      <c r="O235" s="2" t="str">
        <f>_xlfn.XLOOKUP(_xlfn.XLOOKUP(tblTags[[#This Row],[Tag]],tblDbDrift[Tag],tblDbDrift[Hide Tags]),tblHideTags[HideTag],tblHideTags[ID],"")</f>
        <v/>
      </c>
      <c r="P235" s="2"/>
      <c r="Q235" s="2" t="s">
        <v>799</v>
      </c>
      <c r="R235" s="2"/>
      <c r="S235" s="2"/>
    </row>
    <row r="236" spans="1:19" x14ac:dyDescent="0.2">
      <c r="A236">
        <v>226</v>
      </c>
      <c r="B236">
        <v>226</v>
      </c>
      <c r="C236" t="s">
        <v>293</v>
      </c>
      <c r="D236" t="s">
        <v>468</v>
      </c>
      <c r="E236" s="2" t="s">
        <v>468</v>
      </c>
      <c r="F236" cm="1">
        <f t="array" ref="F236">_xlfn.XLOOKUP(_xlfn.XLOOKUP(tblTags[[#This Row],[Tag]],db_drift!$B$2:$B$259,db_drift!$D$2:$D$259),tblInputTypes[[#All],[InputTypeName]],tblInputTypes[[#All],[InputTypeID]],"")</f>
        <v>4</v>
      </c>
      <c r="G236">
        <v>3</v>
      </c>
      <c r="I236" t="str">
        <f>_xlfn.XLOOKUP(_xlfn.XLOOKUP(tblTags[[#This Row],[Tag]],db_drift!$B$2:$B$259,db_drift!$A$2:$A$259),tblDepartmentHeadings[DepartmentHeading],tblDepartmentHeadings[DepartmentHeadingID],"")</f>
        <v/>
      </c>
      <c r="J236">
        <v>8</v>
      </c>
      <c r="K236" t="str">
        <f>_xlfn.XLOOKUP(_xlfn.XLOOKUP(tblTags[[#This Row],[Tag]],db_drift!$B$2:$B$259,db_drift!$E$2:$E$259),tblFuelTypes[FuelType],tblFuelTypes[FuelTypeID],"")</f>
        <v/>
      </c>
      <c r="L236" t="str">
        <f>_xlfn.XLOOKUP(_xlfn.XLOOKUP(tblTags[[#This Row],[Tag]],db_drift!$B$2:$B$259,db_drift!$F$2:$F$259),tblFuelAllocations[FuelAllocation],tblFuelAllocations[FuelAllocationID],"")</f>
        <v/>
      </c>
      <c r="M236" t="str">
        <f>_xlfn.XLOOKUP(tblTags[[#This Row],[Tag]],tblHelpCalc1[Tag],tblHelpCalc1[Calc1ID],"")</f>
        <v/>
      </c>
      <c r="N236" t="str">
        <f>_xlfn.XLOOKUP(tblTags[[#This Row],[Tag]],tblHelpCalc2[Tag],tblHelpCalc2[Calc2ID],"")</f>
        <v/>
      </c>
      <c r="O236" s="2" t="str">
        <f>_xlfn.XLOOKUP(_xlfn.XLOOKUP(tblTags[[#This Row],[Tag]],tblDbDrift[Tag],tblDbDrift[Hide Tags]),tblHideTags[HideTag],tblHideTags[ID],"")</f>
        <v/>
      </c>
      <c r="P236" s="2"/>
      <c r="Q236" s="2" t="s">
        <v>800</v>
      </c>
      <c r="R236" s="2"/>
      <c r="S236" s="2"/>
    </row>
    <row r="237" spans="1:19" x14ac:dyDescent="0.2">
      <c r="A237">
        <v>227</v>
      </c>
      <c r="B237">
        <v>227</v>
      </c>
      <c r="C237" t="s">
        <v>294</v>
      </c>
      <c r="D237" t="s">
        <v>469</v>
      </c>
      <c r="E237" s="2" t="s">
        <v>469</v>
      </c>
      <c r="F237" cm="1">
        <f t="array" ref="F237">_xlfn.XLOOKUP(_xlfn.XLOOKUP(tblTags[[#This Row],[Tag]],db_drift!$B$2:$B$259,db_drift!$D$2:$D$259),tblInputTypes[[#All],[InputTypeName]],tblInputTypes[[#All],[InputTypeID]],"")</f>
        <v>4</v>
      </c>
      <c r="G237">
        <v>3</v>
      </c>
      <c r="I237" t="str">
        <f>_xlfn.XLOOKUP(_xlfn.XLOOKUP(tblTags[[#This Row],[Tag]],db_drift!$B$2:$B$259,db_drift!$A$2:$A$259),tblDepartmentHeadings[DepartmentHeading],tblDepartmentHeadings[DepartmentHeadingID],"")</f>
        <v/>
      </c>
      <c r="J237">
        <v>6</v>
      </c>
      <c r="K237" t="str">
        <f>_xlfn.XLOOKUP(_xlfn.XLOOKUP(tblTags[[#This Row],[Tag]],db_drift!$B$2:$B$259,db_drift!$E$2:$E$259),tblFuelTypes[FuelType],tblFuelTypes[FuelTypeID],"")</f>
        <v/>
      </c>
      <c r="L237" t="str">
        <f>_xlfn.XLOOKUP(_xlfn.XLOOKUP(tblTags[[#This Row],[Tag]],db_drift!$B$2:$B$259,db_drift!$F$2:$F$259),tblFuelAllocations[FuelAllocation],tblFuelAllocations[FuelAllocationID],"")</f>
        <v/>
      </c>
      <c r="M237">
        <f>_xlfn.XLOOKUP(tblTags[[#This Row],[Tag]],tblHelpCalc1[Tag],tblHelpCalc1[Calc1ID],"")</f>
        <v>69</v>
      </c>
      <c r="N237" t="str">
        <f>_xlfn.XLOOKUP(tblTags[[#This Row],[Tag]],tblHelpCalc2[Tag],tblHelpCalc2[Calc2ID],"")</f>
        <v/>
      </c>
      <c r="O237" s="2" t="str">
        <f>_xlfn.XLOOKUP(_xlfn.XLOOKUP(tblTags[[#This Row],[Tag]],tblDbDrift[Tag],tblDbDrift[Hide Tags]),tblHideTags[HideTag],tblHideTags[ID],"")</f>
        <v/>
      </c>
      <c r="P237" s="2"/>
      <c r="Q237" s="2" t="s">
        <v>801</v>
      </c>
      <c r="R237" s="2"/>
      <c r="S237" s="2"/>
    </row>
    <row r="238" spans="1:19" x14ac:dyDescent="0.2">
      <c r="A238">
        <v>228</v>
      </c>
      <c r="B238">
        <v>228</v>
      </c>
      <c r="C238" t="s">
        <v>295</v>
      </c>
      <c r="D238" t="s">
        <v>470</v>
      </c>
      <c r="E238" s="2" t="s">
        <v>470</v>
      </c>
      <c r="F238" cm="1">
        <f t="array" ref="F238">_xlfn.XLOOKUP(_xlfn.XLOOKUP(tblTags[[#This Row],[Tag]],db_drift!$B$2:$B$259,db_drift!$D$2:$D$259),tblInputTypes[[#All],[InputTypeName]],tblInputTypes[[#All],[InputTypeID]],"")</f>
        <v>4</v>
      </c>
      <c r="G238">
        <v>3</v>
      </c>
      <c r="I238" t="str">
        <f>_xlfn.XLOOKUP(_xlfn.XLOOKUP(tblTags[[#This Row],[Tag]],db_drift!$B$2:$B$259,db_drift!$A$2:$A$259),tblDepartmentHeadings[DepartmentHeading],tblDepartmentHeadings[DepartmentHeadingID],"")</f>
        <v/>
      </c>
      <c r="J238">
        <v>7</v>
      </c>
      <c r="K238" t="str">
        <f>_xlfn.XLOOKUP(_xlfn.XLOOKUP(tblTags[[#This Row],[Tag]],db_drift!$B$2:$B$259,db_drift!$E$2:$E$259),tblFuelTypes[FuelType],tblFuelTypes[FuelTypeID],"")</f>
        <v/>
      </c>
      <c r="L238" t="str">
        <f>_xlfn.XLOOKUP(_xlfn.XLOOKUP(tblTags[[#This Row],[Tag]],db_drift!$B$2:$B$259,db_drift!$F$2:$F$259),tblFuelAllocations[FuelAllocation],tblFuelAllocations[FuelAllocationID],"")</f>
        <v/>
      </c>
      <c r="M238">
        <f>_xlfn.XLOOKUP(tblTags[[#This Row],[Tag]],tblHelpCalc1[Tag],tblHelpCalc1[Calc1ID],"")</f>
        <v>70</v>
      </c>
      <c r="N238" t="str">
        <f>_xlfn.XLOOKUP(tblTags[[#This Row],[Tag]],tblHelpCalc2[Tag],tblHelpCalc2[Calc2ID],"")</f>
        <v/>
      </c>
      <c r="O238" s="2" t="str">
        <f>_xlfn.XLOOKUP(_xlfn.XLOOKUP(tblTags[[#This Row],[Tag]],tblDbDrift[Tag],tblDbDrift[Hide Tags]),tblHideTags[HideTag],tblHideTags[ID],"")</f>
        <v/>
      </c>
      <c r="P238" s="2"/>
      <c r="Q238" s="2" t="s">
        <v>802</v>
      </c>
      <c r="R238" s="2"/>
      <c r="S238" s="2"/>
    </row>
    <row r="239" spans="1:19" x14ac:dyDescent="0.2">
      <c r="A239">
        <v>229</v>
      </c>
      <c r="B239">
        <v>229</v>
      </c>
      <c r="C239" t="s">
        <v>296</v>
      </c>
      <c r="D239" t="s">
        <v>471</v>
      </c>
      <c r="E239" s="2" t="s">
        <v>471</v>
      </c>
      <c r="F239" cm="1">
        <f t="array" ref="F239">_xlfn.XLOOKUP(_xlfn.XLOOKUP(tblTags[[#This Row],[Tag]],db_drift!$B$2:$B$259,db_drift!$D$2:$D$259),tblInputTypes[[#All],[InputTypeName]],tblInputTypes[[#All],[InputTypeID]],"")</f>
        <v>4</v>
      </c>
      <c r="G239">
        <v>3</v>
      </c>
      <c r="I239" t="str">
        <f>_xlfn.XLOOKUP(_xlfn.XLOOKUP(tblTags[[#This Row],[Tag]],db_drift!$B$2:$B$259,db_drift!$A$2:$A$259),tblDepartmentHeadings[DepartmentHeading],tblDepartmentHeadings[DepartmentHeadingID],"")</f>
        <v/>
      </c>
      <c r="J239">
        <v>7</v>
      </c>
      <c r="K239" t="str">
        <f>_xlfn.XLOOKUP(_xlfn.XLOOKUP(tblTags[[#This Row],[Tag]],db_drift!$B$2:$B$259,db_drift!$E$2:$E$259),tblFuelTypes[FuelType],tblFuelTypes[FuelTypeID],"")</f>
        <v/>
      </c>
      <c r="L239" t="str">
        <f>_xlfn.XLOOKUP(_xlfn.XLOOKUP(tblTags[[#This Row],[Tag]],db_drift!$B$2:$B$259,db_drift!$F$2:$F$259),tblFuelAllocations[FuelAllocation],tblFuelAllocations[FuelAllocationID],"")</f>
        <v/>
      </c>
      <c r="M239">
        <f>_xlfn.XLOOKUP(tblTags[[#This Row],[Tag]],tblHelpCalc1[Tag],tblHelpCalc1[Calc1ID],"")</f>
        <v>71</v>
      </c>
      <c r="N239" t="str">
        <f>_xlfn.XLOOKUP(tblTags[[#This Row],[Tag]],tblHelpCalc2[Tag],tblHelpCalc2[Calc2ID],"")</f>
        <v/>
      </c>
      <c r="O239" s="2" t="str">
        <f>_xlfn.XLOOKUP(_xlfn.XLOOKUP(tblTags[[#This Row],[Tag]],tblDbDrift[Tag],tblDbDrift[Hide Tags]),tblHideTags[HideTag],tblHideTags[ID],"")</f>
        <v/>
      </c>
      <c r="P239" s="2"/>
      <c r="Q239" s="2" t="s">
        <v>803</v>
      </c>
      <c r="R239" s="2"/>
      <c r="S239" s="2"/>
    </row>
    <row r="240" spans="1:19" x14ac:dyDescent="0.2">
      <c r="A240">
        <v>230</v>
      </c>
      <c r="B240">
        <v>230</v>
      </c>
      <c r="C240" t="s">
        <v>297</v>
      </c>
      <c r="D240" t="s">
        <v>472</v>
      </c>
      <c r="E240" s="2" t="s">
        <v>472</v>
      </c>
      <c r="F240" cm="1">
        <f t="array" ref="F240">_xlfn.XLOOKUP(_xlfn.XLOOKUP(tblTags[[#This Row],[Tag]],db_drift!$B$2:$B$259,db_drift!$D$2:$D$259),tblInputTypes[[#All],[InputTypeName]],tblInputTypes[[#All],[InputTypeID]],"")</f>
        <v>4</v>
      </c>
      <c r="G240">
        <v>3</v>
      </c>
      <c r="I240" t="str">
        <f>_xlfn.XLOOKUP(_xlfn.XLOOKUP(tblTags[[#This Row],[Tag]],db_drift!$B$2:$B$259,db_drift!$A$2:$A$259),tblDepartmentHeadings[DepartmentHeading],tblDepartmentHeadings[DepartmentHeadingID],"")</f>
        <v/>
      </c>
      <c r="J240">
        <v>7</v>
      </c>
      <c r="K240" t="str">
        <f>_xlfn.XLOOKUP(_xlfn.XLOOKUP(tblTags[[#This Row],[Tag]],db_drift!$B$2:$B$259,db_drift!$E$2:$E$259),tblFuelTypes[FuelType],tblFuelTypes[FuelTypeID],"")</f>
        <v/>
      </c>
      <c r="L240" t="str">
        <f>_xlfn.XLOOKUP(_xlfn.XLOOKUP(tblTags[[#This Row],[Tag]],db_drift!$B$2:$B$259,db_drift!$F$2:$F$259),tblFuelAllocations[FuelAllocation],tblFuelAllocations[FuelAllocationID],"")</f>
        <v/>
      </c>
      <c r="M240">
        <f>_xlfn.XLOOKUP(tblTags[[#This Row],[Tag]],tblHelpCalc1[Tag],tblHelpCalc1[Calc1ID],"")</f>
        <v>72</v>
      </c>
      <c r="N240" t="str">
        <f>_xlfn.XLOOKUP(tblTags[[#This Row],[Tag]],tblHelpCalc2[Tag],tblHelpCalc2[Calc2ID],"")</f>
        <v/>
      </c>
      <c r="O240" s="2" t="str">
        <f>_xlfn.XLOOKUP(_xlfn.XLOOKUP(tblTags[[#This Row],[Tag]],tblDbDrift[Tag],tblDbDrift[Hide Tags]),tblHideTags[HideTag],tblHideTags[ID],"")</f>
        <v/>
      </c>
      <c r="P240" s="2"/>
      <c r="Q240" s="2" t="s">
        <v>804</v>
      </c>
      <c r="R240" s="2"/>
      <c r="S240" s="2"/>
    </row>
    <row r="241" spans="1:19" x14ac:dyDescent="0.2">
      <c r="A241">
        <v>231</v>
      </c>
      <c r="B241">
        <v>231</v>
      </c>
      <c r="C241" t="s">
        <v>298</v>
      </c>
      <c r="D241" t="s">
        <v>473</v>
      </c>
      <c r="E241" s="2" t="s">
        <v>473</v>
      </c>
      <c r="F241" cm="1">
        <f t="array" ref="F241">_xlfn.XLOOKUP(_xlfn.XLOOKUP(tblTags[[#This Row],[Tag]],db_drift!$B$2:$B$259,db_drift!$D$2:$D$259),tblInputTypes[[#All],[InputTypeName]],tblInputTypes[[#All],[InputTypeID]],"")</f>
        <v>4</v>
      </c>
      <c r="G241">
        <v>3</v>
      </c>
      <c r="I241" t="str">
        <f>_xlfn.XLOOKUP(_xlfn.XLOOKUP(tblTags[[#This Row],[Tag]],db_drift!$B$2:$B$259,db_drift!$A$2:$A$259),tblDepartmentHeadings[DepartmentHeading],tblDepartmentHeadings[DepartmentHeadingID],"")</f>
        <v/>
      </c>
      <c r="J241">
        <v>7</v>
      </c>
      <c r="K241" t="str">
        <f>_xlfn.XLOOKUP(_xlfn.XLOOKUP(tblTags[[#This Row],[Tag]],db_drift!$B$2:$B$259,db_drift!$E$2:$E$259),tblFuelTypes[FuelType],tblFuelTypes[FuelTypeID],"")</f>
        <v/>
      </c>
      <c r="L241" t="str">
        <f>_xlfn.XLOOKUP(_xlfn.XLOOKUP(tblTags[[#This Row],[Tag]],db_drift!$B$2:$B$259,db_drift!$F$2:$F$259),tblFuelAllocations[FuelAllocation],tblFuelAllocations[FuelAllocationID],"")</f>
        <v/>
      </c>
      <c r="M241">
        <f>_xlfn.XLOOKUP(tblTags[[#This Row],[Tag]],tblHelpCalc1[Tag],tblHelpCalc1[Calc1ID],"")</f>
        <v>73</v>
      </c>
      <c r="N241" t="str">
        <f>_xlfn.XLOOKUP(tblTags[[#This Row],[Tag]],tblHelpCalc2[Tag],tblHelpCalc2[Calc2ID],"")</f>
        <v/>
      </c>
      <c r="O241" s="2" t="str">
        <f>_xlfn.XLOOKUP(_xlfn.XLOOKUP(tblTags[[#This Row],[Tag]],tblDbDrift[Tag],tblDbDrift[Hide Tags]),tblHideTags[HideTag],tblHideTags[ID],"")</f>
        <v/>
      </c>
      <c r="P241" s="2"/>
      <c r="Q241" s="2" t="s">
        <v>805</v>
      </c>
      <c r="R241" s="2"/>
      <c r="S241" s="2"/>
    </row>
    <row r="242" spans="1:19" x14ac:dyDescent="0.2">
      <c r="A242">
        <v>232</v>
      </c>
      <c r="B242">
        <v>232</v>
      </c>
      <c r="C242" t="s">
        <v>299</v>
      </c>
      <c r="D242" t="s">
        <v>474</v>
      </c>
      <c r="E242" s="2" t="s">
        <v>474</v>
      </c>
      <c r="F242" cm="1">
        <f t="array" ref="F242">_xlfn.XLOOKUP(_xlfn.XLOOKUP(tblTags[[#This Row],[Tag]],db_drift!$B$2:$B$259,db_drift!$D$2:$D$259),tblInputTypes[[#All],[InputTypeName]],tblInputTypes[[#All],[InputTypeID]],"")</f>
        <v>4</v>
      </c>
      <c r="G242">
        <v>3</v>
      </c>
      <c r="I242" t="str">
        <f>_xlfn.XLOOKUP(_xlfn.XLOOKUP(tblTags[[#This Row],[Tag]],db_drift!$B$2:$B$259,db_drift!$A$2:$A$259),tblDepartmentHeadings[DepartmentHeading],tblDepartmentHeadings[DepartmentHeadingID],"")</f>
        <v/>
      </c>
      <c r="J242">
        <v>7</v>
      </c>
      <c r="K242" t="str">
        <f>_xlfn.XLOOKUP(_xlfn.XLOOKUP(tblTags[[#This Row],[Tag]],db_drift!$B$2:$B$259,db_drift!$E$2:$E$259),tblFuelTypes[FuelType],tblFuelTypes[FuelTypeID],"")</f>
        <v/>
      </c>
      <c r="L242" t="str">
        <f>_xlfn.XLOOKUP(_xlfn.XLOOKUP(tblTags[[#This Row],[Tag]],db_drift!$B$2:$B$259,db_drift!$F$2:$F$259),tblFuelAllocations[FuelAllocation],tblFuelAllocations[FuelAllocationID],"")</f>
        <v/>
      </c>
      <c r="M242">
        <f>_xlfn.XLOOKUP(tblTags[[#This Row],[Tag]],tblHelpCalc1[Tag],tblHelpCalc1[Calc1ID],"")</f>
        <v>74</v>
      </c>
      <c r="N242" t="str">
        <f>_xlfn.XLOOKUP(tblTags[[#This Row],[Tag]],tblHelpCalc2[Tag],tblHelpCalc2[Calc2ID],"")</f>
        <v/>
      </c>
      <c r="O242" s="2" t="str">
        <f>_xlfn.XLOOKUP(_xlfn.XLOOKUP(tblTags[[#This Row],[Tag]],tblDbDrift[Tag],tblDbDrift[Hide Tags]),tblHideTags[HideTag],tblHideTags[ID],"")</f>
        <v/>
      </c>
      <c r="P242" s="2"/>
      <c r="Q242" s="2" t="s">
        <v>806</v>
      </c>
      <c r="R242" s="2"/>
      <c r="S242" s="2"/>
    </row>
    <row r="243" spans="1:19" x14ac:dyDescent="0.2">
      <c r="A243">
        <v>233</v>
      </c>
      <c r="B243">
        <v>233</v>
      </c>
      <c r="C243" t="s">
        <v>300</v>
      </c>
      <c r="D243" t="s">
        <v>475</v>
      </c>
      <c r="E243" s="2" t="s">
        <v>475</v>
      </c>
      <c r="F243" cm="1">
        <f t="array" ref="F243">_xlfn.XLOOKUP(_xlfn.XLOOKUP(tblTags[[#This Row],[Tag]],db_drift!$B$2:$B$259,db_drift!$D$2:$D$259),tblInputTypes[[#All],[InputTypeName]],tblInputTypes[[#All],[InputTypeID]],"")</f>
        <v>4</v>
      </c>
      <c r="G243">
        <v>3</v>
      </c>
      <c r="I243" t="str">
        <f>_xlfn.XLOOKUP(_xlfn.XLOOKUP(tblTags[[#This Row],[Tag]],db_drift!$B$2:$B$259,db_drift!$A$2:$A$259),tblDepartmentHeadings[DepartmentHeading],tblDepartmentHeadings[DepartmentHeadingID],"")</f>
        <v/>
      </c>
      <c r="J243">
        <v>7</v>
      </c>
      <c r="K243" t="str">
        <f>_xlfn.XLOOKUP(_xlfn.XLOOKUP(tblTags[[#This Row],[Tag]],db_drift!$B$2:$B$259,db_drift!$E$2:$E$259),tblFuelTypes[FuelType],tblFuelTypes[FuelTypeID],"")</f>
        <v/>
      </c>
      <c r="L243" t="str">
        <f>_xlfn.XLOOKUP(_xlfn.XLOOKUP(tblTags[[#This Row],[Tag]],db_drift!$B$2:$B$259,db_drift!$F$2:$F$259),tblFuelAllocations[FuelAllocation],tblFuelAllocations[FuelAllocationID],"")</f>
        <v/>
      </c>
      <c r="M243">
        <f>_xlfn.XLOOKUP(tblTags[[#This Row],[Tag]],tblHelpCalc1[Tag],tblHelpCalc1[Calc1ID],"")</f>
        <v>75</v>
      </c>
      <c r="N243" t="str">
        <f>_xlfn.XLOOKUP(tblTags[[#This Row],[Tag]],tblHelpCalc2[Tag],tblHelpCalc2[Calc2ID],"")</f>
        <v/>
      </c>
      <c r="O243" s="2" t="str">
        <f>_xlfn.XLOOKUP(_xlfn.XLOOKUP(tblTags[[#This Row],[Tag]],tblDbDrift[Tag],tblDbDrift[Hide Tags]),tblHideTags[HideTag],tblHideTags[ID],"")</f>
        <v/>
      </c>
      <c r="P243" s="2"/>
      <c r="Q243" s="2" t="s">
        <v>807</v>
      </c>
      <c r="R243" s="2"/>
      <c r="S243" s="2"/>
    </row>
    <row r="244" spans="1:19" x14ac:dyDescent="0.2">
      <c r="A244">
        <v>234</v>
      </c>
      <c r="B244">
        <v>234</v>
      </c>
      <c r="C244" t="s">
        <v>301</v>
      </c>
      <c r="D244" t="s">
        <v>476</v>
      </c>
      <c r="E244" s="2" t="s">
        <v>476</v>
      </c>
      <c r="F244" cm="1">
        <f t="array" ref="F244">_xlfn.XLOOKUP(_xlfn.XLOOKUP(tblTags[[#This Row],[Tag]],db_drift!$B$2:$B$259,db_drift!$D$2:$D$259),tblInputTypes[[#All],[InputTypeName]],tblInputTypes[[#All],[InputTypeID]],"")</f>
        <v>4</v>
      </c>
      <c r="G244">
        <v>3</v>
      </c>
      <c r="I244" t="str">
        <f>_xlfn.XLOOKUP(_xlfn.XLOOKUP(tblTags[[#This Row],[Tag]],db_drift!$B$2:$B$259,db_drift!$A$2:$A$259),tblDepartmentHeadings[DepartmentHeading],tblDepartmentHeadings[DepartmentHeadingID],"")</f>
        <v/>
      </c>
      <c r="J244">
        <v>7</v>
      </c>
      <c r="K244" t="str">
        <f>_xlfn.XLOOKUP(_xlfn.XLOOKUP(tblTags[[#This Row],[Tag]],db_drift!$B$2:$B$259,db_drift!$E$2:$E$259),tblFuelTypes[FuelType],tblFuelTypes[FuelTypeID],"")</f>
        <v/>
      </c>
      <c r="L244" t="str">
        <f>_xlfn.XLOOKUP(_xlfn.XLOOKUP(tblTags[[#This Row],[Tag]],db_drift!$B$2:$B$259,db_drift!$F$2:$F$259),tblFuelAllocations[FuelAllocation],tblFuelAllocations[FuelAllocationID],"")</f>
        <v/>
      </c>
      <c r="M244">
        <f>_xlfn.XLOOKUP(tblTags[[#This Row],[Tag]],tblHelpCalc1[Tag],tblHelpCalc1[Calc1ID],"")</f>
        <v>76</v>
      </c>
      <c r="N244" t="str">
        <f>_xlfn.XLOOKUP(tblTags[[#This Row],[Tag]],tblHelpCalc2[Tag],tblHelpCalc2[Calc2ID],"")</f>
        <v/>
      </c>
      <c r="O244" s="2" t="str">
        <f>_xlfn.XLOOKUP(_xlfn.XLOOKUP(tblTags[[#This Row],[Tag]],tblDbDrift[Tag],tblDbDrift[Hide Tags]),tblHideTags[HideTag],tblHideTags[ID],"")</f>
        <v/>
      </c>
      <c r="P244" s="2"/>
      <c r="Q244" s="2" t="s">
        <v>808</v>
      </c>
      <c r="R244" s="2"/>
      <c r="S244" s="2"/>
    </row>
    <row r="245" spans="1:19" x14ac:dyDescent="0.2">
      <c r="A245">
        <v>235</v>
      </c>
      <c r="B245">
        <v>235</v>
      </c>
      <c r="C245" t="s">
        <v>302</v>
      </c>
      <c r="E245" s="2"/>
      <c r="F245" t="str" cm="1">
        <f t="array" ref="F245">_xlfn.XLOOKUP(_xlfn.XLOOKUP(tblTags[[#This Row],[Tag]],db_drift!$B$2:$B$259,db_drift!$D$2:$D$259),tblInputTypes[[#All],[InputTypeName]],tblInputTypes[[#All],[InputTypeID]],"")</f>
        <v/>
      </c>
      <c r="I245" t="str">
        <f>_xlfn.XLOOKUP(_xlfn.XLOOKUP(tblTags[[#This Row],[Tag]],db_drift!$B$2:$B$259,db_drift!$A$2:$A$259),tblDepartmentHeadings[DepartmentHeading],tblDepartmentHeadings[DepartmentHeadingID],"")</f>
        <v/>
      </c>
      <c r="K245" t="str">
        <f>_xlfn.XLOOKUP(_xlfn.XLOOKUP(tblTags[[#This Row],[Tag]],db_drift!$B$2:$B$259,db_drift!$E$2:$E$259),tblFuelTypes[FuelType],tblFuelTypes[FuelTypeID],"")</f>
        <v/>
      </c>
      <c r="L245" t="str">
        <f>_xlfn.XLOOKUP(_xlfn.XLOOKUP(tblTags[[#This Row],[Tag]],db_drift!$B$2:$B$259,db_drift!$F$2:$F$259),tblFuelAllocations[FuelAllocation],tblFuelAllocations[FuelAllocationID],"")</f>
        <v/>
      </c>
      <c r="M245" t="str">
        <f>_xlfn.XLOOKUP(tblTags[[#This Row],[Tag]],tblHelpCalc1[Tag],tblHelpCalc1[Calc1ID],"")</f>
        <v/>
      </c>
      <c r="N245" t="str">
        <f>_xlfn.XLOOKUP(tblTags[[#This Row],[Tag]],tblHelpCalc2[Tag],tblHelpCalc2[Calc2ID],"")</f>
        <v/>
      </c>
      <c r="O245" s="2" t="str">
        <f>_xlfn.XLOOKUP(_xlfn.XLOOKUP(tblTags[[#This Row],[Tag]],tblDbDrift[Tag],tblDbDrift[Hide Tags]),tblHideTags[HideTag],tblHideTags[ID],"")</f>
        <v/>
      </c>
      <c r="P245" s="2"/>
      <c r="Q245" s="2" t="s">
        <v>809</v>
      </c>
      <c r="R245" s="2"/>
      <c r="S245" s="2"/>
    </row>
    <row r="246" spans="1:19" x14ac:dyDescent="0.2">
      <c r="A246">
        <v>236</v>
      </c>
      <c r="B246">
        <v>236</v>
      </c>
      <c r="C246" t="s">
        <v>303</v>
      </c>
      <c r="D246" t="s">
        <v>477</v>
      </c>
      <c r="E246" s="2" t="s">
        <v>477</v>
      </c>
      <c r="F246" cm="1">
        <f t="array" ref="F246">_xlfn.XLOOKUP(_xlfn.XLOOKUP(tblTags[[#This Row],[Tag]],db_drift!$B$2:$B$259,db_drift!$D$2:$D$259),tblInputTypes[[#All],[InputTypeName]],tblInputTypes[[#All],[InputTypeID]],"")</f>
        <v>4</v>
      </c>
      <c r="G246">
        <v>3</v>
      </c>
      <c r="I246">
        <f>_xlfn.XLOOKUP(_xlfn.XLOOKUP(tblTags[[#This Row],[Tag]],db_drift!$B$2:$B$259,db_drift!$A$2:$A$259),tblDepartmentHeadings[DepartmentHeading],tblDepartmentHeadings[DepartmentHeadingID],"")</f>
        <v>18</v>
      </c>
      <c r="J246">
        <v>3</v>
      </c>
      <c r="K246" t="str">
        <f>_xlfn.XLOOKUP(_xlfn.XLOOKUP(tblTags[[#This Row],[Tag]],db_drift!$B$2:$B$259,db_drift!$E$2:$E$259),tblFuelTypes[FuelType],tblFuelTypes[FuelTypeID],"")</f>
        <v/>
      </c>
      <c r="L246" t="str">
        <f>_xlfn.XLOOKUP(_xlfn.XLOOKUP(tblTags[[#This Row],[Tag]],db_drift!$B$2:$B$259,db_drift!$F$2:$F$259),tblFuelAllocations[FuelAllocation],tblFuelAllocations[FuelAllocationID],"")</f>
        <v/>
      </c>
      <c r="M246">
        <f>_xlfn.XLOOKUP(tblTags[[#This Row],[Tag]],tblHelpCalc1[Tag],tblHelpCalc1[Calc1ID],"")</f>
        <v>77</v>
      </c>
      <c r="N246" t="str">
        <f>_xlfn.XLOOKUP(tblTags[[#This Row],[Tag]],tblHelpCalc2[Tag],tblHelpCalc2[Calc2ID],"")</f>
        <v/>
      </c>
      <c r="O246" s="2" t="str">
        <f>_xlfn.XLOOKUP(_xlfn.XLOOKUP(tblTags[[#This Row],[Tag]],tblDbDrift[Tag],tblDbDrift[Hide Tags]),tblHideTags[HideTag],tblHideTags[ID],"")</f>
        <v/>
      </c>
      <c r="P246" s="2"/>
      <c r="Q246" s="2" t="s">
        <v>810</v>
      </c>
      <c r="R246" s="2"/>
      <c r="S246" s="2"/>
    </row>
    <row r="247" spans="1:19" x14ac:dyDescent="0.2">
      <c r="A247">
        <v>237</v>
      </c>
      <c r="B247">
        <v>237</v>
      </c>
      <c r="C247" t="s">
        <v>304</v>
      </c>
      <c r="D247" t="s">
        <v>478</v>
      </c>
      <c r="E247" s="2" t="s">
        <v>478</v>
      </c>
      <c r="F247" cm="1">
        <f t="array" ref="F247">_xlfn.XLOOKUP(_xlfn.XLOOKUP(tblTags[[#This Row],[Tag]],db_drift!$B$2:$B$259,db_drift!$D$2:$D$259),tblInputTypes[[#All],[InputTypeName]],tblInputTypes[[#All],[InputTypeID]],"")</f>
        <v>4</v>
      </c>
      <c r="G247">
        <v>3</v>
      </c>
      <c r="I247" t="str">
        <f>_xlfn.XLOOKUP(_xlfn.XLOOKUP(tblTags[[#This Row],[Tag]],db_drift!$B$2:$B$259,db_drift!$A$2:$A$259),tblDepartmentHeadings[DepartmentHeading],tblDepartmentHeadings[DepartmentHeadingID],"")</f>
        <v/>
      </c>
      <c r="J247">
        <v>9</v>
      </c>
      <c r="K247" t="str">
        <f>_xlfn.XLOOKUP(_xlfn.XLOOKUP(tblTags[[#This Row],[Tag]],db_drift!$B$2:$B$259,db_drift!$E$2:$E$259),tblFuelTypes[FuelType],tblFuelTypes[FuelTypeID],"")</f>
        <v/>
      </c>
      <c r="L247" t="str">
        <f>_xlfn.XLOOKUP(_xlfn.XLOOKUP(tblTags[[#This Row],[Tag]],db_drift!$B$2:$B$259,db_drift!$F$2:$F$259),tblFuelAllocations[FuelAllocation],tblFuelAllocations[FuelAllocationID],"")</f>
        <v/>
      </c>
      <c r="M247">
        <f>_xlfn.XLOOKUP(tblTags[[#This Row],[Tag]],tblHelpCalc1[Tag],tblHelpCalc1[Calc1ID],"")</f>
        <v>78</v>
      </c>
      <c r="N247" t="str">
        <f>_xlfn.XLOOKUP(tblTags[[#This Row],[Tag]],tblHelpCalc2[Tag],tblHelpCalc2[Calc2ID],"")</f>
        <v/>
      </c>
      <c r="O247" s="2" t="str">
        <f>_xlfn.XLOOKUP(_xlfn.XLOOKUP(tblTags[[#This Row],[Tag]],tblDbDrift[Tag],tblDbDrift[Hide Tags]),tblHideTags[HideTag],tblHideTags[ID],"")</f>
        <v/>
      </c>
      <c r="P247" s="2"/>
      <c r="Q247" s="2" t="s">
        <v>811</v>
      </c>
      <c r="R247" s="2"/>
      <c r="S247" s="2"/>
    </row>
    <row r="248" spans="1:19" x14ac:dyDescent="0.2">
      <c r="A248">
        <v>238</v>
      </c>
      <c r="B248">
        <v>238</v>
      </c>
      <c r="C248" t="s">
        <v>305</v>
      </c>
      <c r="D248" t="s">
        <v>479</v>
      </c>
      <c r="E248" s="2" t="s">
        <v>479</v>
      </c>
      <c r="F248" cm="1">
        <f t="array" ref="F248">_xlfn.XLOOKUP(_xlfn.XLOOKUP(tblTags[[#This Row],[Tag]],db_drift!$B$2:$B$259,db_drift!$D$2:$D$259),tblInputTypes[[#All],[InputTypeName]],tblInputTypes[[#All],[InputTypeID]],"")</f>
        <v>4</v>
      </c>
      <c r="G248">
        <v>3</v>
      </c>
      <c r="I248" t="str">
        <f>_xlfn.XLOOKUP(_xlfn.XLOOKUP(tblTags[[#This Row],[Tag]],db_drift!$B$2:$B$259,db_drift!$A$2:$A$259),tblDepartmentHeadings[DepartmentHeading],tblDepartmentHeadings[DepartmentHeadingID],"")</f>
        <v/>
      </c>
      <c r="J248">
        <v>7</v>
      </c>
      <c r="K248" t="str">
        <f>_xlfn.XLOOKUP(_xlfn.XLOOKUP(tblTags[[#This Row],[Tag]],db_drift!$B$2:$B$259,db_drift!$E$2:$E$259),tblFuelTypes[FuelType],tblFuelTypes[FuelTypeID],"")</f>
        <v/>
      </c>
      <c r="L248" t="str">
        <f>_xlfn.XLOOKUP(_xlfn.XLOOKUP(tblTags[[#This Row],[Tag]],db_drift!$B$2:$B$259,db_drift!$F$2:$F$259),tblFuelAllocations[FuelAllocation],tblFuelAllocations[FuelAllocationID],"")</f>
        <v/>
      </c>
      <c r="M248" t="str">
        <f>_xlfn.XLOOKUP(tblTags[[#This Row],[Tag]],tblHelpCalc1[Tag],tblHelpCalc1[Calc1ID],"")</f>
        <v/>
      </c>
      <c r="N248" t="str">
        <f>_xlfn.XLOOKUP(tblTags[[#This Row],[Tag]],tblHelpCalc2[Tag],tblHelpCalc2[Calc2ID],"")</f>
        <v/>
      </c>
      <c r="O248" s="2" t="str">
        <f>_xlfn.XLOOKUP(_xlfn.XLOOKUP(tblTags[[#This Row],[Tag]],tblDbDrift[Tag],tblDbDrift[Hide Tags]),tblHideTags[HideTag],tblHideTags[ID],"")</f>
        <v/>
      </c>
      <c r="P248" s="2"/>
      <c r="Q248" s="2" t="s">
        <v>812</v>
      </c>
      <c r="R248" s="2"/>
      <c r="S248" s="2"/>
    </row>
    <row r="249" spans="1:19" x14ac:dyDescent="0.2">
      <c r="A249">
        <v>239</v>
      </c>
      <c r="B249">
        <v>239</v>
      </c>
      <c r="C249" t="s">
        <v>306</v>
      </c>
      <c r="D249" t="s">
        <v>480</v>
      </c>
      <c r="E249" s="2" t="s">
        <v>480</v>
      </c>
      <c r="F249" cm="1">
        <f t="array" ref="F249">_xlfn.XLOOKUP(_xlfn.XLOOKUP(tblTags[[#This Row],[Tag]],db_drift!$B$2:$B$259,db_drift!$D$2:$D$259),tblInputTypes[[#All],[InputTypeName]],tblInputTypes[[#All],[InputTypeID]],"")</f>
        <v>4</v>
      </c>
      <c r="G249">
        <v>3</v>
      </c>
      <c r="I249" t="str">
        <f>_xlfn.XLOOKUP(_xlfn.XLOOKUP(tblTags[[#This Row],[Tag]],db_drift!$B$2:$B$259,db_drift!$A$2:$A$259),tblDepartmentHeadings[DepartmentHeading],tblDepartmentHeadings[DepartmentHeadingID],"")</f>
        <v/>
      </c>
      <c r="J249">
        <v>8</v>
      </c>
      <c r="K249" t="str">
        <f>_xlfn.XLOOKUP(_xlfn.XLOOKUP(tblTags[[#This Row],[Tag]],db_drift!$B$2:$B$259,db_drift!$E$2:$E$259),tblFuelTypes[FuelType],tblFuelTypes[FuelTypeID],"")</f>
        <v/>
      </c>
      <c r="L249" t="str">
        <f>_xlfn.XLOOKUP(_xlfn.XLOOKUP(tblTags[[#This Row],[Tag]],db_drift!$B$2:$B$259,db_drift!$F$2:$F$259),tblFuelAllocations[FuelAllocation],tblFuelAllocations[FuelAllocationID],"")</f>
        <v/>
      </c>
      <c r="M249" t="str">
        <f>_xlfn.XLOOKUP(tblTags[[#This Row],[Tag]],tblHelpCalc1[Tag],tblHelpCalc1[Calc1ID],"")</f>
        <v/>
      </c>
      <c r="N249" t="str">
        <f>_xlfn.XLOOKUP(tblTags[[#This Row],[Tag]],tblHelpCalc2[Tag],tblHelpCalc2[Calc2ID],"")</f>
        <v/>
      </c>
      <c r="O249" s="2" t="str">
        <f>_xlfn.XLOOKUP(_xlfn.XLOOKUP(tblTags[[#This Row],[Tag]],tblDbDrift[Tag],tblDbDrift[Hide Tags]),tblHideTags[HideTag],tblHideTags[ID],"")</f>
        <v/>
      </c>
      <c r="P249" s="2"/>
      <c r="Q249" s="2" t="s">
        <v>813</v>
      </c>
      <c r="R249" s="2"/>
      <c r="S249" s="2"/>
    </row>
    <row r="250" spans="1:19" x14ac:dyDescent="0.2">
      <c r="A250">
        <v>240</v>
      </c>
      <c r="B250">
        <v>240</v>
      </c>
      <c r="C250" t="s">
        <v>307</v>
      </c>
      <c r="D250" t="s">
        <v>481</v>
      </c>
      <c r="E250" s="2" t="s">
        <v>481</v>
      </c>
      <c r="F250" cm="1">
        <f t="array" ref="F250">_xlfn.XLOOKUP(_xlfn.XLOOKUP(tblTags[[#This Row],[Tag]],db_drift!$B$2:$B$259,db_drift!$D$2:$D$259),tblInputTypes[[#All],[InputTypeName]],tblInputTypes[[#All],[InputTypeID]],"")</f>
        <v>4</v>
      </c>
      <c r="G250">
        <v>3</v>
      </c>
      <c r="I250" t="str">
        <f>_xlfn.XLOOKUP(_xlfn.XLOOKUP(tblTags[[#This Row],[Tag]],db_drift!$B$2:$B$259,db_drift!$A$2:$A$259),tblDepartmentHeadings[DepartmentHeading],tblDepartmentHeadings[DepartmentHeadingID],"")</f>
        <v/>
      </c>
      <c r="J250">
        <v>6</v>
      </c>
      <c r="K250" t="str">
        <f>_xlfn.XLOOKUP(_xlfn.XLOOKUP(tblTags[[#This Row],[Tag]],db_drift!$B$2:$B$259,db_drift!$E$2:$E$259),tblFuelTypes[FuelType],tblFuelTypes[FuelTypeID],"")</f>
        <v/>
      </c>
      <c r="L250" t="str">
        <f>_xlfn.XLOOKUP(_xlfn.XLOOKUP(tblTags[[#This Row],[Tag]],db_drift!$B$2:$B$259,db_drift!$F$2:$F$259),tblFuelAllocations[FuelAllocation],tblFuelAllocations[FuelAllocationID],"")</f>
        <v/>
      </c>
      <c r="M250">
        <f>_xlfn.XLOOKUP(tblTags[[#This Row],[Tag]],tblHelpCalc1[Tag],tblHelpCalc1[Calc1ID],"")</f>
        <v>79</v>
      </c>
      <c r="N250" t="str">
        <f>_xlfn.XLOOKUP(tblTags[[#This Row],[Tag]],tblHelpCalc2[Tag],tblHelpCalc2[Calc2ID],"")</f>
        <v/>
      </c>
      <c r="O250" s="2" t="str">
        <f>_xlfn.XLOOKUP(_xlfn.XLOOKUP(tblTags[[#This Row],[Tag]],tblDbDrift[Tag],tblDbDrift[Hide Tags]),tblHideTags[HideTag],tblHideTags[ID],"")</f>
        <v/>
      </c>
      <c r="P250" s="2"/>
      <c r="Q250" s="2" t="s">
        <v>814</v>
      </c>
      <c r="R250" s="2"/>
      <c r="S250" s="2"/>
    </row>
    <row r="251" spans="1:19" x14ac:dyDescent="0.2">
      <c r="A251">
        <v>241</v>
      </c>
      <c r="B251">
        <v>241</v>
      </c>
      <c r="C251" t="s">
        <v>308</v>
      </c>
      <c r="D251" t="s">
        <v>482</v>
      </c>
      <c r="E251" s="2" t="s">
        <v>482</v>
      </c>
      <c r="F251" cm="1">
        <f t="array" ref="F251">_xlfn.XLOOKUP(_xlfn.XLOOKUP(tblTags[[#This Row],[Tag]],db_drift!$B$2:$B$259,db_drift!$D$2:$D$259),tblInputTypes[[#All],[InputTypeName]],tblInputTypes[[#All],[InputTypeID]],"")</f>
        <v>4</v>
      </c>
      <c r="G251">
        <v>3</v>
      </c>
      <c r="I251" t="str">
        <f>_xlfn.XLOOKUP(_xlfn.XLOOKUP(tblTags[[#This Row],[Tag]],db_drift!$B$2:$B$259,db_drift!$A$2:$A$259),tblDepartmentHeadings[DepartmentHeading],tblDepartmentHeadings[DepartmentHeadingID],"")</f>
        <v/>
      </c>
      <c r="J251">
        <v>7</v>
      </c>
      <c r="K251" t="str">
        <f>_xlfn.XLOOKUP(_xlfn.XLOOKUP(tblTags[[#This Row],[Tag]],db_drift!$B$2:$B$259,db_drift!$E$2:$E$259),tblFuelTypes[FuelType],tblFuelTypes[FuelTypeID],"")</f>
        <v/>
      </c>
      <c r="L251" t="str">
        <f>_xlfn.XLOOKUP(_xlfn.XLOOKUP(tblTags[[#This Row],[Tag]],db_drift!$B$2:$B$259,db_drift!$F$2:$F$259),tblFuelAllocations[FuelAllocation],tblFuelAllocations[FuelAllocationID],"")</f>
        <v/>
      </c>
      <c r="M251">
        <f>_xlfn.XLOOKUP(tblTags[[#This Row],[Tag]],tblHelpCalc1[Tag],tblHelpCalc1[Calc1ID],"")</f>
        <v>80</v>
      </c>
      <c r="N251" t="str">
        <f>_xlfn.XLOOKUP(tblTags[[#This Row],[Tag]],tblHelpCalc2[Tag],tblHelpCalc2[Calc2ID],"")</f>
        <v/>
      </c>
      <c r="O251" s="2" t="str">
        <f>_xlfn.XLOOKUP(_xlfn.XLOOKUP(tblTags[[#This Row],[Tag]],tblDbDrift[Tag],tblDbDrift[Hide Tags]),tblHideTags[HideTag],tblHideTags[ID],"")</f>
        <v/>
      </c>
      <c r="P251" s="2"/>
      <c r="Q251" s="2" t="s">
        <v>815</v>
      </c>
      <c r="R251" s="2"/>
      <c r="S251" s="2"/>
    </row>
    <row r="252" spans="1:19" x14ac:dyDescent="0.2">
      <c r="A252">
        <v>242</v>
      </c>
      <c r="B252">
        <v>242</v>
      </c>
      <c r="C252" t="s">
        <v>309</v>
      </c>
      <c r="D252" t="s">
        <v>483</v>
      </c>
      <c r="E252" s="2" t="s">
        <v>483</v>
      </c>
      <c r="F252" cm="1">
        <f t="array" ref="F252">_xlfn.XLOOKUP(_xlfn.XLOOKUP(tblTags[[#This Row],[Tag]],db_drift!$B$2:$B$259,db_drift!$D$2:$D$259),tblInputTypes[[#All],[InputTypeName]],tblInputTypes[[#All],[InputTypeID]],"")</f>
        <v>4</v>
      </c>
      <c r="G252">
        <v>3</v>
      </c>
      <c r="I252" t="str">
        <f>_xlfn.XLOOKUP(_xlfn.XLOOKUP(tblTags[[#This Row],[Tag]],db_drift!$B$2:$B$259,db_drift!$A$2:$A$259),tblDepartmentHeadings[DepartmentHeading],tblDepartmentHeadings[DepartmentHeadingID],"")</f>
        <v/>
      </c>
      <c r="J252">
        <v>7</v>
      </c>
      <c r="K252" t="str">
        <f>_xlfn.XLOOKUP(_xlfn.XLOOKUP(tblTags[[#This Row],[Tag]],db_drift!$B$2:$B$259,db_drift!$E$2:$E$259),tblFuelTypes[FuelType],tblFuelTypes[FuelTypeID],"")</f>
        <v/>
      </c>
      <c r="L252" t="str">
        <f>_xlfn.XLOOKUP(_xlfn.XLOOKUP(tblTags[[#This Row],[Tag]],db_drift!$B$2:$B$259,db_drift!$F$2:$F$259),tblFuelAllocations[FuelAllocation],tblFuelAllocations[FuelAllocationID],"")</f>
        <v/>
      </c>
      <c r="M252">
        <f>_xlfn.XLOOKUP(tblTags[[#This Row],[Tag]],tblHelpCalc1[Tag],tblHelpCalc1[Calc1ID],"")</f>
        <v>81</v>
      </c>
      <c r="N252" t="str">
        <f>_xlfn.XLOOKUP(tblTags[[#This Row],[Tag]],tblHelpCalc2[Tag],tblHelpCalc2[Calc2ID],"")</f>
        <v/>
      </c>
      <c r="O252" s="2" t="str">
        <f>_xlfn.XLOOKUP(_xlfn.XLOOKUP(tblTags[[#This Row],[Tag]],tblDbDrift[Tag],tblDbDrift[Hide Tags]),tblHideTags[HideTag],tblHideTags[ID],"")</f>
        <v/>
      </c>
      <c r="P252" s="2"/>
      <c r="Q252" s="2" t="s">
        <v>816</v>
      </c>
      <c r="R252" s="2"/>
      <c r="S252" s="2"/>
    </row>
    <row r="253" spans="1:19" x14ac:dyDescent="0.2">
      <c r="A253">
        <v>243</v>
      </c>
      <c r="B253">
        <v>243</v>
      </c>
      <c r="C253" t="s">
        <v>310</v>
      </c>
      <c r="D253" t="s">
        <v>484</v>
      </c>
      <c r="E253" s="2" t="s">
        <v>484</v>
      </c>
      <c r="F253" cm="1">
        <f t="array" ref="F253">_xlfn.XLOOKUP(_xlfn.XLOOKUP(tblTags[[#This Row],[Tag]],db_drift!$B$2:$B$259,db_drift!$D$2:$D$259),tblInputTypes[[#All],[InputTypeName]],tblInputTypes[[#All],[InputTypeID]],"")</f>
        <v>4</v>
      </c>
      <c r="G253">
        <v>3</v>
      </c>
      <c r="I253" t="str">
        <f>_xlfn.XLOOKUP(_xlfn.XLOOKUP(tblTags[[#This Row],[Tag]],db_drift!$B$2:$B$259,db_drift!$A$2:$A$259),tblDepartmentHeadings[DepartmentHeading],tblDepartmentHeadings[DepartmentHeadingID],"")</f>
        <v/>
      </c>
      <c r="J253">
        <v>7</v>
      </c>
      <c r="K253" t="str">
        <f>_xlfn.XLOOKUP(_xlfn.XLOOKUP(tblTags[[#This Row],[Tag]],db_drift!$B$2:$B$259,db_drift!$E$2:$E$259),tblFuelTypes[FuelType],tblFuelTypes[FuelTypeID],"")</f>
        <v/>
      </c>
      <c r="L253" t="str">
        <f>_xlfn.XLOOKUP(_xlfn.XLOOKUP(tblTags[[#This Row],[Tag]],db_drift!$B$2:$B$259,db_drift!$F$2:$F$259),tblFuelAllocations[FuelAllocation],tblFuelAllocations[FuelAllocationID],"")</f>
        <v/>
      </c>
      <c r="M253">
        <f>_xlfn.XLOOKUP(tblTags[[#This Row],[Tag]],tblHelpCalc1[Tag],tblHelpCalc1[Calc1ID],"")</f>
        <v>82</v>
      </c>
      <c r="N253" t="str">
        <f>_xlfn.XLOOKUP(tblTags[[#This Row],[Tag]],tblHelpCalc2[Tag],tblHelpCalc2[Calc2ID],"")</f>
        <v/>
      </c>
      <c r="O253" s="2" t="str">
        <f>_xlfn.XLOOKUP(_xlfn.XLOOKUP(tblTags[[#This Row],[Tag]],tblDbDrift[Tag],tblDbDrift[Hide Tags]),tblHideTags[HideTag],tblHideTags[ID],"")</f>
        <v/>
      </c>
      <c r="P253" s="2"/>
      <c r="Q253" s="2" t="s">
        <v>817</v>
      </c>
      <c r="R253" s="2"/>
      <c r="S253" s="2"/>
    </row>
    <row r="254" spans="1:19" x14ac:dyDescent="0.2">
      <c r="A254">
        <v>244</v>
      </c>
      <c r="B254">
        <v>244</v>
      </c>
      <c r="C254" t="s">
        <v>311</v>
      </c>
      <c r="D254" t="s">
        <v>485</v>
      </c>
      <c r="E254" s="2" t="s">
        <v>485</v>
      </c>
      <c r="F254" cm="1">
        <f t="array" ref="F254">_xlfn.XLOOKUP(_xlfn.XLOOKUP(tblTags[[#This Row],[Tag]],db_drift!$B$2:$B$259,db_drift!$D$2:$D$259),tblInputTypes[[#All],[InputTypeName]],tblInputTypes[[#All],[InputTypeID]],"")</f>
        <v>4</v>
      </c>
      <c r="G254">
        <v>3</v>
      </c>
      <c r="I254" t="str">
        <f>_xlfn.XLOOKUP(_xlfn.XLOOKUP(tblTags[[#This Row],[Tag]],db_drift!$B$2:$B$259,db_drift!$A$2:$A$259),tblDepartmentHeadings[DepartmentHeading],tblDepartmentHeadings[DepartmentHeadingID],"")</f>
        <v/>
      </c>
      <c r="J254">
        <v>7</v>
      </c>
      <c r="K254" t="str">
        <f>_xlfn.XLOOKUP(_xlfn.XLOOKUP(tblTags[[#This Row],[Tag]],db_drift!$B$2:$B$259,db_drift!$E$2:$E$259),tblFuelTypes[FuelType],tblFuelTypes[FuelTypeID],"")</f>
        <v/>
      </c>
      <c r="L254" t="str">
        <f>_xlfn.XLOOKUP(_xlfn.XLOOKUP(tblTags[[#This Row],[Tag]],db_drift!$B$2:$B$259,db_drift!$F$2:$F$259),tblFuelAllocations[FuelAllocation],tblFuelAllocations[FuelAllocationID],"")</f>
        <v/>
      </c>
      <c r="M254">
        <f>_xlfn.XLOOKUP(tblTags[[#This Row],[Tag]],tblHelpCalc1[Tag],tblHelpCalc1[Calc1ID],"")</f>
        <v>83</v>
      </c>
      <c r="N254" t="str">
        <f>_xlfn.XLOOKUP(tblTags[[#This Row],[Tag]],tblHelpCalc2[Tag],tblHelpCalc2[Calc2ID],"")</f>
        <v/>
      </c>
      <c r="O254" s="2" t="str">
        <f>_xlfn.XLOOKUP(_xlfn.XLOOKUP(tblTags[[#This Row],[Tag]],tblDbDrift[Tag],tblDbDrift[Hide Tags]),tblHideTags[HideTag],tblHideTags[ID],"")</f>
        <v/>
      </c>
      <c r="P254" s="2"/>
      <c r="Q254" s="2" t="s">
        <v>818</v>
      </c>
      <c r="R254" s="2"/>
      <c r="S254" s="2"/>
    </row>
    <row r="255" spans="1:19" x14ac:dyDescent="0.2">
      <c r="A255">
        <v>245</v>
      </c>
      <c r="B255">
        <v>245</v>
      </c>
      <c r="C255" t="s">
        <v>312</v>
      </c>
      <c r="D255" t="s">
        <v>486</v>
      </c>
      <c r="E255" s="2" t="s">
        <v>486</v>
      </c>
      <c r="F255" cm="1">
        <f t="array" ref="F255">_xlfn.XLOOKUP(_xlfn.XLOOKUP(tblTags[[#This Row],[Tag]],db_drift!$B$2:$B$259,db_drift!$D$2:$D$259),tblInputTypes[[#All],[InputTypeName]],tblInputTypes[[#All],[InputTypeID]],"")</f>
        <v>4</v>
      </c>
      <c r="G255">
        <v>3</v>
      </c>
      <c r="I255" t="str">
        <f>_xlfn.XLOOKUP(_xlfn.XLOOKUP(tblTags[[#This Row],[Tag]],db_drift!$B$2:$B$259,db_drift!$A$2:$A$259),tblDepartmentHeadings[DepartmentHeading],tblDepartmentHeadings[DepartmentHeadingID],"")</f>
        <v/>
      </c>
      <c r="J255">
        <v>7</v>
      </c>
      <c r="K255" t="str">
        <f>_xlfn.XLOOKUP(_xlfn.XLOOKUP(tblTags[[#This Row],[Tag]],db_drift!$B$2:$B$259,db_drift!$E$2:$E$259),tblFuelTypes[FuelType],tblFuelTypes[FuelTypeID],"")</f>
        <v/>
      </c>
      <c r="L255" t="str">
        <f>_xlfn.XLOOKUP(_xlfn.XLOOKUP(tblTags[[#This Row],[Tag]],db_drift!$B$2:$B$259,db_drift!$F$2:$F$259),tblFuelAllocations[FuelAllocation],tblFuelAllocations[FuelAllocationID],"")</f>
        <v/>
      </c>
      <c r="M255">
        <f>_xlfn.XLOOKUP(tblTags[[#This Row],[Tag]],tblHelpCalc1[Tag],tblHelpCalc1[Calc1ID],"")</f>
        <v>84</v>
      </c>
      <c r="N255" t="str">
        <f>_xlfn.XLOOKUP(tblTags[[#This Row],[Tag]],tblHelpCalc2[Tag],tblHelpCalc2[Calc2ID],"")</f>
        <v/>
      </c>
      <c r="O255" s="2" t="str">
        <f>_xlfn.XLOOKUP(_xlfn.XLOOKUP(tblTags[[#This Row],[Tag]],tblDbDrift[Tag],tblDbDrift[Hide Tags]),tblHideTags[HideTag],tblHideTags[ID],"")</f>
        <v/>
      </c>
      <c r="P255" s="2"/>
      <c r="Q255" s="2" t="s">
        <v>819</v>
      </c>
      <c r="R255" s="2"/>
      <c r="S255" s="2"/>
    </row>
    <row r="256" spans="1:19" x14ac:dyDescent="0.2">
      <c r="A256">
        <v>246</v>
      </c>
      <c r="B256">
        <v>246</v>
      </c>
      <c r="C256" t="s">
        <v>313</v>
      </c>
      <c r="D256" t="s">
        <v>487</v>
      </c>
      <c r="E256" s="2" t="s">
        <v>487</v>
      </c>
      <c r="F256" cm="1">
        <f t="array" ref="F256">_xlfn.XLOOKUP(_xlfn.XLOOKUP(tblTags[[#This Row],[Tag]],db_drift!$B$2:$B$259,db_drift!$D$2:$D$259),tblInputTypes[[#All],[InputTypeName]],tblInputTypes[[#All],[InputTypeID]],"")</f>
        <v>4</v>
      </c>
      <c r="G256">
        <v>3</v>
      </c>
      <c r="I256" t="str">
        <f>_xlfn.XLOOKUP(_xlfn.XLOOKUP(tblTags[[#This Row],[Tag]],db_drift!$B$2:$B$259,db_drift!$A$2:$A$259),tblDepartmentHeadings[DepartmentHeading],tblDepartmentHeadings[DepartmentHeadingID],"")</f>
        <v/>
      </c>
      <c r="J256">
        <v>7</v>
      </c>
      <c r="K256" t="str">
        <f>_xlfn.XLOOKUP(_xlfn.XLOOKUP(tblTags[[#This Row],[Tag]],db_drift!$B$2:$B$259,db_drift!$E$2:$E$259),tblFuelTypes[FuelType],tblFuelTypes[FuelTypeID],"")</f>
        <v/>
      </c>
      <c r="L256" t="str">
        <f>_xlfn.XLOOKUP(_xlfn.XLOOKUP(tblTags[[#This Row],[Tag]],db_drift!$B$2:$B$259,db_drift!$F$2:$F$259),tblFuelAllocations[FuelAllocation],tblFuelAllocations[FuelAllocationID],"")</f>
        <v/>
      </c>
      <c r="M256">
        <f>_xlfn.XLOOKUP(tblTags[[#This Row],[Tag]],tblHelpCalc1[Tag],tblHelpCalc1[Calc1ID],"")</f>
        <v>85</v>
      </c>
      <c r="N256" t="str">
        <f>_xlfn.XLOOKUP(tblTags[[#This Row],[Tag]],tblHelpCalc2[Tag],tblHelpCalc2[Calc2ID],"")</f>
        <v/>
      </c>
      <c r="O256" s="2" t="str">
        <f>_xlfn.XLOOKUP(_xlfn.XLOOKUP(tblTags[[#This Row],[Tag]],tblDbDrift[Tag],tblDbDrift[Hide Tags]),tblHideTags[HideTag],tblHideTags[ID],"")</f>
        <v/>
      </c>
      <c r="P256" s="2"/>
      <c r="Q256" s="2" t="s">
        <v>820</v>
      </c>
      <c r="R256" s="2"/>
      <c r="S256" s="2"/>
    </row>
    <row r="257" spans="1:19" x14ac:dyDescent="0.2">
      <c r="A257">
        <v>247</v>
      </c>
      <c r="B257">
        <v>247</v>
      </c>
      <c r="C257" t="s">
        <v>314</v>
      </c>
      <c r="E257" s="2"/>
      <c r="F257" t="str" cm="1">
        <f t="array" ref="F257">_xlfn.XLOOKUP(_xlfn.XLOOKUP(tblTags[[#This Row],[Tag]],db_drift!$B$2:$B$259,db_drift!$D$2:$D$259),tblInputTypes[[#All],[InputTypeName]],tblInputTypes[[#All],[InputTypeID]],"")</f>
        <v/>
      </c>
      <c r="I257" t="str">
        <f>_xlfn.XLOOKUP(_xlfn.XLOOKUP(tblTags[[#This Row],[Tag]],db_drift!$B$2:$B$259,db_drift!$A$2:$A$259),tblDepartmentHeadings[DepartmentHeading],tblDepartmentHeadings[DepartmentHeadingID],"")</f>
        <v/>
      </c>
      <c r="K257" t="str">
        <f>_xlfn.XLOOKUP(_xlfn.XLOOKUP(tblTags[[#This Row],[Tag]],db_drift!$B$2:$B$259,db_drift!$E$2:$E$259),tblFuelTypes[FuelType],tblFuelTypes[FuelTypeID],"")</f>
        <v/>
      </c>
      <c r="L257" t="str">
        <f>_xlfn.XLOOKUP(_xlfn.XLOOKUP(tblTags[[#This Row],[Tag]],db_drift!$B$2:$B$259,db_drift!$F$2:$F$259),tblFuelAllocations[FuelAllocation],tblFuelAllocations[FuelAllocationID],"")</f>
        <v/>
      </c>
      <c r="M257" t="str">
        <f>_xlfn.XLOOKUP(tblTags[[#This Row],[Tag]],tblHelpCalc1[Tag],tblHelpCalc1[Calc1ID],"")</f>
        <v/>
      </c>
      <c r="N257" t="str">
        <f>_xlfn.XLOOKUP(tblTags[[#This Row],[Tag]],tblHelpCalc2[Tag],tblHelpCalc2[Calc2ID],"")</f>
        <v/>
      </c>
      <c r="O257" s="2" t="str">
        <f>_xlfn.XLOOKUP(_xlfn.XLOOKUP(tblTags[[#This Row],[Tag]],tblDbDrift[Tag],tblDbDrift[Hide Tags]),tblHideTags[HideTag],tblHideTags[ID],"")</f>
        <v/>
      </c>
      <c r="P257" s="2"/>
      <c r="Q257" s="2" t="s">
        <v>821</v>
      </c>
      <c r="R257" s="2"/>
      <c r="S257" s="2"/>
    </row>
    <row r="258" spans="1:19" x14ac:dyDescent="0.2">
      <c r="A258">
        <v>248</v>
      </c>
      <c r="B258">
        <v>248</v>
      </c>
      <c r="C258" t="s">
        <v>315</v>
      </c>
      <c r="D258" t="s">
        <v>316</v>
      </c>
      <c r="E258" s="2" t="s">
        <v>316</v>
      </c>
      <c r="F258" cm="1">
        <f t="array" ref="F258">_xlfn.XLOOKUP(_xlfn.XLOOKUP(tblTags[[#This Row],[Tag]],db_drift!$B$2:$B$259,db_drift!$D$2:$D$259),tblInputTypes[[#All],[InputTypeName]],tblInputTypes[[#All],[InputTypeID]],"")</f>
        <v>4</v>
      </c>
      <c r="G258">
        <v>3</v>
      </c>
      <c r="I258">
        <f>_xlfn.XLOOKUP(_xlfn.XLOOKUP(tblTags[[#This Row],[Tag]],db_drift!$B$2:$B$259,db_drift!$A$2:$A$259),tblDepartmentHeadings[DepartmentHeading],tblDepartmentHeadings[DepartmentHeadingID],"")</f>
        <v>19</v>
      </c>
      <c r="J258">
        <v>3</v>
      </c>
      <c r="K258" t="str">
        <f>_xlfn.XLOOKUP(_xlfn.XLOOKUP(tblTags[[#This Row],[Tag]],db_drift!$B$2:$B$259,db_drift!$E$2:$E$259),tblFuelTypes[FuelType],tblFuelTypes[FuelTypeID],"")</f>
        <v/>
      </c>
      <c r="L258" t="str">
        <f>_xlfn.XLOOKUP(_xlfn.XLOOKUP(tblTags[[#This Row],[Tag]],db_drift!$B$2:$B$259,db_drift!$F$2:$F$259),tblFuelAllocations[FuelAllocation],tblFuelAllocations[FuelAllocationID],"")</f>
        <v/>
      </c>
      <c r="M258">
        <f>_xlfn.XLOOKUP(tblTags[[#This Row],[Tag]],tblHelpCalc1[Tag],tblHelpCalc1[Calc1ID],"")</f>
        <v>86</v>
      </c>
      <c r="N258" t="str">
        <f>_xlfn.XLOOKUP(tblTags[[#This Row],[Tag]],tblHelpCalc2[Tag],tblHelpCalc2[Calc2ID],"")</f>
        <v/>
      </c>
      <c r="O258" s="2" t="str">
        <f>_xlfn.XLOOKUP(_xlfn.XLOOKUP(tblTags[[#This Row],[Tag]],tblDbDrift[Tag],tblDbDrift[Hide Tags]),tblHideTags[HideTag],tblHideTags[ID],"")</f>
        <v/>
      </c>
      <c r="P258" s="2"/>
      <c r="Q258" s="2" t="s">
        <v>822</v>
      </c>
      <c r="R258" s="2"/>
      <c r="S258" s="2"/>
    </row>
    <row r="259" spans="1:19" x14ac:dyDescent="0.2">
      <c r="A259">
        <v>249</v>
      </c>
      <c r="B259">
        <v>249</v>
      </c>
      <c r="C259" t="s">
        <v>488</v>
      </c>
      <c r="D259" t="s">
        <v>489</v>
      </c>
      <c r="E259" s="2" t="s">
        <v>489</v>
      </c>
      <c r="F259" cm="1">
        <f t="array" ref="F259">_xlfn.XLOOKUP(_xlfn.XLOOKUP(tblTags[[#This Row],[Tag]],db_drift!$B$2:$B$259,db_drift!$D$2:$D$259),tblInputTypes[[#All],[InputTypeName]],tblInputTypes[[#All],[InputTypeID]],"")</f>
        <v>4</v>
      </c>
      <c r="G259">
        <v>3</v>
      </c>
      <c r="I259" t="str">
        <f>_xlfn.XLOOKUP(_xlfn.XLOOKUP(tblTags[[#This Row],[Tag]],db_drift!$B$2:$B$259,db_drift!$A$2:$A$259),tblDepartmentHeadings[DepartmentHeading],tblDepartmentHeadings[DepartmentHeadingID],"")</f>
        <v/>
      </c>
      <c r="J259">
        <v>5</v>
      </c>
      <c r="K259" t="str">
        <f>_xlfn.XLOOKUP(_xlfn.XLOOKUP(tblTags[[#This Row],[Tag]],db_drift!$B$2:$B$259,db_drift!$E$2:$E$259),tblFuelTypes[FuelType],tblFuelTypes[FuelTypeID],"")</f>
        <v/>
      </c>
      <c r="L259" t="str">
        <f>_xlfn.XLOOKUP(_xlfn.XLOOKUP(tblTags[[#This Row],[Tag]],db_drift!$B$2:$B$259,db_drift!$F$2:$F$259),tblFuelAllocations[FuelAllocation],tblFuelAllocations[FuelAllocationID],"")</f>
        <v/>
      </c>
      <c r="M259">
        <f>_xlfn.XLOOKUP(tblTags[[#This Row],[Tag]],tblHelpCalc1[Tag],tblHelpCalc1[Calc1ID],"")</f>
        <v>87</v>
      </c>
      <c r="N259" t="str">
        <f>_xlfn.XLOOKUP(tblTags[[#This Row],[Tag]],tblHelpCalc2[Tag],tblHelpCalc2[Calc2ID],"")</f>
        <v/>
      </c>
      <c r="O259" s="2" t="str">
        <f>_xlfn.XLOOKUP(_xlfn.XLOOKUP(tblTags[[#This Row],[Tag]],tblDbDrift[Tag],tblDbDrift[Hide Tags]),tblHideTags[HideTag],tblHideTags[ID],"")</f>
        <v/>
      </c>
      <c r="P259" s="2"/>
      <c r="Q259" s="2" t="s">
        <v>823</v>
      </c>
      <c r="R259" s="2"/>
      <c r="S259" s="2"/>
    </row>
    <row r="260" spans="1:19" x14ac:dyDescent="0.2">
      <c r="A260">
        <v>250</v>
      </c>
      <c r="B260">
        <v>250</v>
      </c>
      <c r="C260" t="s">
        <v>317</v>
      </c>
      <c r="D260" t="s">
        <v>318</v>
      </c>
      <c r="E260" s="2" t="s">
        <v>318</v>
      </c>
      <c r="F260" cm="1">
        <f t="array" ref="F260">_xlfn.XLOOKUP(_xlfn.XLOOKUP(tblTags[[#This Row],[Tag]],db_drift!$B$2:$B$259,db_drift!$D$2:$D$259),tblInputTypes[[#All],[InputTypeName]],tblInputTypes[[#All],[InputTypeID]],"")</f>
        <v>4</v>
      </c>
      <c r="G260">
        <v>3</v>
      </c>
      <c r="I260" t="str">
        <f>_xlfn.XLOOKUP(_xlfn.XLOOKUP(tblTags[[#This Row],[Tag]],db_drift!$B$2:$B$259,db_drift!$A$2:$A$259),tblDepartmentHeadings[DepartmentHeading],tblDepartmentHeadings[DepartmentHeadingID],"")</f>
        <v/>
      </c>
      <c r="J260">
        <v>7</v>
      </c>
      <c r="K260" t="str">
        <f>_xlfn.XLOOKUP(_xlfn.XLOOKUP(tblTags[[#This Row],[Tag]],db_drift!$B$2:$B$259,db_drift!$E$2:$E$259),tblFuelTypes[FuelType],tblFuelTypes[FuelTypeID],"")</f>
        <v/>
      </c>
      <c r="L260" t="str">
        <f>_xlfn.XLOOKUP(_xlfn.XLOOKUP(tblTags[[#This Row],[Tag]],db_drift!$B$2:$B$259,db_drift!$F$2:$F$259),tblFuelAllocations[FuelAllocation],tblFuelAllocations[FuelAllocationID],"")</f>
        <v/>
      </c>
      <c r="M260" t="str">
        <f>_xlfn.XLOOKUP(tblTags[[#This Row],[Tag]],tblHelpCalc1[Tag],tblHelpCalc1[Calc1ID],"")</f>
        <v/>
      </c>
      <c r="N260" t="str">
        <f>_xlfn.XLOOKUP(tblTags[[#This Row],[Tag]],tblHelpCalc2[Tag],tblHelpCalc2[Calc2ID],"")</f>
        <v/>
      </c>
      <c r="O260" s="2" t="str">
        <f>_xlfn.XLOOKUP(_xlfn.XLOOKUP(tblTags[[#This Row],[Tag]],tblDbDrift[Tag],tblDbDrift[Hide Tags]),tblHideTags[HideTag],tblHideTags[ID],"")</f>
        <v/>
      </c>
      <c r="P260" s="2"/>
      <c r="Q260" s="2" t="s">
        <v>824</v>
      </c>
      <c r="R260" s="2"/>
      <c r="S260" s="2"/>
    </row>
    <row r="261" spans="1:19" x14ac:dyDescent="0.2">
      <c r="A261">
        <v>251</v>
      </c>
      <c r="B261">
        <v>251</v>
      </c>
      <c r="C261" t="s">
        <v>319</v>
      </c>
      <c r="E261" s="2"/>
      <c r="F261" t="str" cm="1">
        <f t="array" ref="F261">_xlfn.XLOOKUP(_xlfn.XLOOKUP(tblTags[[#This Row],[Tag]],db_drift!$B$2:$B$259,db_drift!$D$2:$D$259),tblInputTypes[[#All],[InputTypeName]],tblInputTypes[[#All],[InputTypeID]],"")</f>
        <v/>
      </c>
      <c r="G261">
        <v>3</v>
      </c>
      <c r="I261" t="str">
        <f>_xlfn.XLOOKUP(_xlfn.XLOOKUP(tblTags[[#This Row],[Tag]],db_drift!$B$2:$B$259,db_drift!$A$2:$A$259),tblDepartmentHeadings[DepartmentHeading],tblDepartmentHeadings[DepartmentHeadingID],"")</f>
        <v/>
      </c>
      <c r="K261" t="str">
        <f>_xlfn.XLOOKUP(_xlfn.XLOOKUP(tblTags[[#This Row],[Tag]],db_drift!$B$2:$B$259,db_drift!$E$2:$E$259),tblFuelTypes[FuelType],tblFuelTypes[FuelTypeID],"")</f>
        <v/>
      </c>
      <c r="L261" t="str">
        <f>_xlfn.XLOOKUP(_xlfn.XLOOKUP(tblTags[[#This Row],[Tag]],db_drift!$B$2:$B$259,db_drift!$F$2:$F$259),tblFuelAllocations[FuelAllocation],tblFuelAllocations[FuelAllocationID],"")</f>
        <v/>
      </c>
      <c r="M261" t="str">
        <f>_xlfn.XLOOKUP(tblTags[[#This Row],[Tag]],tblHelpCalc1[Tag],tblHelpCalc1[Calc1ID],"")</f>
        <v/>
      </c>
      <c r="N261" t="str">
        <f>_xlfn.XLOOKUP(tblTags[[#This Row],[Tag]],tblHelpCalc2[Tag],tblHelpCalc2[Calc2ID],"")</f>
        <v/>
      </c>
      <c r="O261" s="2" t="str">
        <f>_xlfn.XLOOKUP(_xlfn.XLOOKUP(tblTags[[#This Row],[Tag]],tblDbDrift[Tag],tblDbDrift[Hide Tags]),tblHideTags[HideTag],tblHideTags[ID],"")</f>
        <v/>
      </c>
      <c r="P261" s="2"/>
      <c r="Q261" s="2" t="s">
        <v>825</v>
      </c>
      <c r="R261" s="2"/>
      <c r="S261" s="2"/>
    </row>
    <row r="262" spans="1:19" x14ac:dyDescent="0.2">
      <c r="A262">
        <v>252</v>
      </c>
      <c r="B262">
        <v>252</v>
      </c>
      <c r="C262" t="s">
        <v>320</v>
      </c>
      <c r="D262" t="s">
        <v>490</v>
      </c>
      <c r="E262" s="2" t="s">
        <v>490</v>
      </c>
      <c r="F262" cm="1">
        <f t="array" ref="F262">_xlfn.XLOOKUP(_xlfn.XLOOKUP(tblTags[[#This Row],[Tag]],db_drift!$B$2:$B$259,db_drift!$D$2:$D$259),tblInputTypes[[#All],[InputTypeName]],tblInputTypes[[#All],[InputTypeID]],"")</f>
        <v>4</v>
      </c>
      <c r="G262">
        <v>3</v>
      </c>
      <c r="I262">
        <f>_xlfn.XLOOKUP(_xlfn.XLOOKUP(tblTags[[#This Row],[Tag]],db_drift!$B$2:$B$259,db_drift!$A$2:$A$259),tblDepartmentHeadings[DepartmentHeading],tblDepartmentHeadings[DepartmentHeadingID],"")</f>
        <v>20</v>
      </c>
      <c r="J262">
        <v>3</v>
      </c>
      <c r="K262" t="str">
        <f>_xlfn.XLOOKUP(_xlfn.XLOOKUP(tblTags[[#This Row],[Tag]],db_drift!$B$2:$B$259,db_drift!$E$2:$E$259),tblFuelTypes[FuelType],tblFuelTypes[FuelTypeID],"")</f>
        <v/>
      </c>
      <c r="L262" t="str">
        <f>_xlfn.XLOOKUP(_xlfn.XLOOKUP(tblTags[[#This Row],[Tag]],db_drift!$B$2:$B$259,db_drift!$F$2:$F$259),tblFuelAllocations[FuelAllocation],tblFuelAllocations[FuelAllocationID],"")</f>
        <v/>
      </c>
      <c r="M262" t="str">
        <f>_xlfn.XLOOKUP(tblTags[[#This Row],[Tag]],tblHelpCalc1[Tag],tblHelpCalc1[Calc1ID],"")</f>
        <v/>
      </c>
      <c r="N262">
        <f>_xlfn.XLOOKUP(tblTags[[#This Row],[Tag]],tblHelpCalc2[Tag],tblHelpCalc2[Calc2ID],"")</f>
        <v>64</v>
      </c>
      <c r="O262" s="2" t="str">
        <f>_xlfn.XLOOKUP(_xlfn.XLOOKUP(tblTags[[#This Row],[Tag]],tblDbDrift[Tag],tblDbDrift[Hide Tags]),tblHideTags[HideTag],tblHideTags[ID],"")</f>
        <v/>
      </c>
      <c r="P262" s="2"/>
      <c r="Q262" s="2" t="s">
        <v>490</v>
      </c>
      <c r="R262" s="2"/>
      <c r="S262" s="2"/>
    </row>
    <row r="263" spans="1:19" x14ac:dyDescent="0.2">
      <c r="A263">
        <v>253</v>
      </c>
      <c r="B263">
        <v>253</v>
      </c>
      <c r="C263" t="s">
        <v>321</v>
      </c>
      <c r="D263" t="s">
        <v>491</v>
      </c>
      <c r="E263" s="2" t="s">
        <v>491</v>
      </c>
      <c r="F263" cm="1">
        <f t="array" ref="F263">_xlfn.XLOOKUP(_xlfn.XLOOKUP(tblTags[[#This Row],[Tag]],db_drift!$B$2:$B$259,db_drift!$D$2:$D$259),tblInputTypes[[#All],[InputTypeName]],tblInputTypes[[#All],[InputTypeID]],"")</f>
        <v>4</v>
      </c>
      <c r="G263">
        <v>3</v>
      </c>
      <c r="I263" t="str">
        <f>_xlfn.XLOOKUP(_xlfn.XLOOKUP(tblTags[[#This Row],[Tag]],db_drift!$B$2:$B$259,db_drift!$A$2:$A$259),tblDepartmentHeadings[DepartmentHeading],tblDepartmentHeadings[DepartmentHeadingID],"")</f>
        <v/>
      </c>
      <c r="J263">
        <v>3</v>
      </c>
      <c r="K263" t="str">
        <f>_xlfn.XLOOKUP(_xlfn.XLOOKUP(tblTags[[#This Row],[Tag]],db_drift!$B$2:$B$259,db_drift!$E$2:$E$259),tblFuelTypes[FuelType],tblFuelTypes[FuelTypeID],"")</f>
        <v/>
      </c>
      <c r="L263" t="str">
        <f>_xlfn.XLOOKUP(_xlfn.XLOOKUP(tblTags[[#This Row],[Tag]],db_drift!$B$2:$B$259,db_drift!$F$2:$F$259),tblFuelAllocations[FuelAllocation],tblFuelAllocations[FuelAllocationID],"")</f>
        <v/>
      </c>
      <c r="M263" t="str">
        <f>_xlfn.XLOOKUP(tblTags[[#This Row],[Tag]],tblHelpCalc1[Tag],tblHelpCalc1[Calc1ID],"")</f>
        <v/>
      </c>
      <c r="N263">
        <f>_xlfn.XLOOKUP(tblTags[[#This Row],[Tag]],tblHelpCalc2[Tag],tblHelpCalc2[Calc2ID],"")</f>
        <v>65</v>
      </c>
      <c r="O263" s="2" t="str">
        <f>_xlfn.XLOOKUP(_xlfn.XLOOKUP(tblTags[[#This Row],[Tag]],tblDbDrift[Tag],tblDbDrift[Hide Tags]),tblHideTags[HideTag],tblHideTags[ID],"")</f>
        <v/>
      </c>
      <c r="P263" s="2"/>
      <c r="Q263" s="2" t="s">
        <v>491</v>
      </c>
      <c r="R263" s="2"/>
      <c r="S263" s="2"/>
    </row>
    <row r="264" spans="1:19" x14ac:dyDescent="0.2">
      <c r="A264">
        <v>254</v>
      </c>
      <c r="B264">
        <v>254</v>
      </c>
      <c r="C264" t="s">
        <v>322</v>
      </c>
      <c r="D264" t="s">
        <v>323</v>
      </c>
      <c r="E264" s="2" t="s">
        <v>323</v>
      </c>
      <c r="F264" cm="1">
        <f t="array" ref="F264">_xlfn.XLOOKUP(_xlfn.XLOOKUP(tblTags[[#This Row],[Tag]],db_drift!$B$2:$B$259,db_drift!$D$2:$D$259),tblInputTypes[[#All],[InputTypeName]],tblInputTypes[[#All],[InputTypeID]],"")</f>
        <v>4</v>
      </c>
      <c r="G264">
        <v>3</v>
      </c>
      <c r="I264" t="str">
        <f>_xlfn.XLOOKUP(_xlfn.XLOOKUP(tblTags[[#This Row],[Tag]],db_drift!$B$2:$B$259,db_drift!$A$2:$A$259),tblDepartmentHeadings[DepartmentHeading],tblDepartmentHeadings[DepartmentHeadingID],"")</f>
        <v/>
      </c>
      <c r="J264">
        <v>9</v>
      </c>
      <c r="K264" t="str">
        <f>_xlfn.XLOOKUP(_xlfn.XLOOKUP(tblTags[[#This Row],[Tag]],db_drift!$B$2:$B$259,db_drift!$E$2:$E$259),tblFuelTypes[FuelType],tblFuelTypes[FuelTypeID],"")</f>
        <v/>
      </c>
      <c r="L264" t="str">
        <f>_xlfn.XLOOKUP(_xlfn.XLOOKUP(tblTags[[#This Row],[Tag]],db_drift!$B$2:$B$259,db_drift!$F$2:$F$259),tblFuelAllocations[FuelAllocation],tblFuelAllocations[FuelAllocationID],"")</f>
        <v/>
      </c>
      <c r="M264">
        <f>_xlfn.XLOOKUP(tblTags[[#This Row],[Tag]],tblHelpCalc1[Tag],tblHelpCalc1[Calc1ID],"")</f>
        <v>88</v>
      </c>
      <c r="N264">
        <f>_xlfn.XLOOKUP(tblTags[[#This Row],[Tag]],tblHelpCalc2[Tag],tblHelpCalc2[Calc2ID],"")</f>
        <v>66</v>
      </c>
      <c r="O264" s="2" t="str">
        <f>_xlfn.XLOOKUP(_xlfn.XLOOKUP(tblTags[[#This Row],[Tag]],tblDbDrift[Tag],tblDbDrift[Hide Tags]),tblHideTags[HideTag],tblHideTags[ID],"")</f>
        <v/>
      </c>
      <c r="P264" s="2"/>
      <c r="Q264" s="2" t="s">
        <v>826</v>
      </c>
      <c r="R264" s="2"/>
      <c r="S264" s="2"/>
    </row>
    <row r="265" spans="1:19" x14ac:dyDescent="0.2">
      <c r="A265">
        <v>255</v>
      </c>
      <c r="B265">
        <v>255</v>
      </c>
      <c r="C265" t="s">
        <v>324</v>
      </c>
      <c r="D265" t="s">
        <v>325</v>
      </c>
      <c r="E265" s="2" t="s">
        <v>325</v>
      </c>
      <c r="F265" cm="1">
        <f t="array" ref="F265">_xlfn.XLOOKUP(_xlfn.XLOOKUP(tblTags[[#This Row],[Tag]],db_drift!$B$2:$B$259,db_drift!$D$2:$D$259),tblInputTypes[[#All],[InputTypeName]],tblInputTypes[[#All],[InputTypeID]],"")</f>
        <v>4</v>
      </c>
      <c r="G265">
        <v>3</v>
      </c>
      <c r="I265" t="str">
        <f>_xlfn.XLOOKUP(_xlfn.XLOOKUP(tblTags[[#This Row],[Tag]],db_drift!$B$2:$B$259,db_drift!$A$2:$A$259),tblDepartmentHeadings[DepartmentHeading],tblDepartmentHeadings[DepartmentHeadingID],"")</f>
        <v/>
      </c>
      <c r="J265">
        <v>9</v>
      </c>
      <c r="K265" t="str">
        <f>_xlfn.XLOOKUP(_xlfn.XLOOKUP(tblTags[[#This Row],[Tag]],db_drift!$B$2:$B$259,db_drift!$E$2:$E$259),tblFuelTypes[FuelType],tblFuelTypes[FuelTypeID],"")</f>
        <v/>
      </c>
      <c r="L265" t="str">
        <f>_xlfn.XLOOKUP(_xlfn.XLOOKUP(tblTags[[#This Row],[Tag]],db_drift!$B$2:$B$259,db_drift!$F$2:$F$259),tblFuelAllocations[FuelAllocation],tblFuelAllocations[FuelAllocationID],"")</f>
        <v/>
      </c>
      <c r="M265" t="str">
        <f>_xlfn.XLOOKUP(tblTags[[#This Row],[Tag]],tblHelpCalc1[Tag],tblHelpCalc1[Calc1ID],"")</f>
        <v/>
      </c>
      <c r="N265">
        <f>_xlfn.XLOOKUP(tblTags[[#This Row],[Tag]],tblHelpCalc2[Tag],tblHelpCalc2[Calc2ID],"")</f>
        <v>67</v>
      </c>
      <c r="O265" s="2" t="str">
        <f>_xlfn.XLOOKUP(_xlfn.XLOOKUP(tblTags[[#This Row],[Tag]],tblDbDrift[Tag],tblDbDrift[Hide Tags]),tblHideTags[HideTag],tblHideTags[ID],"")</f>
        <v/>
      </c>
      <c r="P265" s="2"/>
      <c r="Q265" s="2" t="s">
        <v>827</v>
      </c>
      <c r="R265" s="2"/>
      <c r="S265" s="2"/>
    </row>
    <row r="266" spans="1:19" x14ac:dyDescent="0.2">
      <c r="A266">
        <v>256</v>
      </c>
      <c r="B266">
        <v>256</v>
      </c>
      <c r="C266" t="s">
        <v>326</v>
      </c>
      <c r="D266" t="s">
        <v>327</v>
      </c>
      <c r="E266" s="2" t="s">
        <v>327</v>
      </c>
      <c r="F266" cm="1">
        <f t="array" ref="F266">_xlfn.XLOOKUP(_xlfn.XLOOKUP(tblTags[[#This Row],[Tag]],db_drift!$B$2:$B$259,db_drift!$D$2:$D$259),tblInputTypes[[#All],[InputTypeName]],tblInputTypes[[#All],[InputTypeID]],"")</f>
        <v>4</v>
      </c>
      <c r="G266">
        <v>3</v>
      </c>
      <c r="I266" t="str">
        <f>_xlfn.XLOOKUP(_xlfn.XLOOKUP(tblTags[[#This Row],[Tag]],db_drift!$B$2:$B$259,db_drift!$A$2:$A$259),tblDepartmentHeadings[DepartmentHeading],tblDepartmentHeadings[DepartmentHeadingID],"")</f>
        <v/>
      </c>
      <c r="J266">
        <v>9</v>
      </c>
      <c r="K266" t="str">
        <f>_xlfn.XLOOKUP(_xlfn.XLOOKUP(tblTags[[#This Row],[Tag]],db_drift!$B$2:$B$259,db_drift!$E$2:$E$259),tblFuelTypes[FuelType],tblFuelTypes[FuelTypeID],"")</f>
        <v/>
      </c>
      <c r="L266" t="str">
        <f>_xlfn.XLOOKUP(_xlfn.XLOOKUP(tblTags[[#This Row],[Tag]],db_drift!$B$2:$B$259,db_drift!$F$2:$F$259),tblFuelAllocations[FuelAllocation],tblFuelAllocations[FuelAllocationID],"")</f>
        <v/>
      </c>
      <c r="M266" t="str">
        <f>_xlfn.XLOOKUP(tblTags[[#This Row],[Tag]],tblHelpCalc1[Tag],tblHelpCalc1[Calc1ID],"")</f>
        <v/>
      </c>
      <c r="N266">
        <f>_xlfn.XLOOKUP(tblTags[[#This Row],[Tag]],tblHelpCalc2[Tag],tblHelpCalc2[Calc2ID],"")</f>
        <v>68</v>
      </c>
      <c r="O266" s="2" t="str">
        <f>_xlfn.XLOOKUP(_xlfn.XLOOKUP(tblTags[[#This Row],[Tag]],tblDbDrift[Tag],tblDbDrift[Hide Tags]),tblHideTags[HideTag],tblHideTags[ID],"")</f>
        <v/>
      </c>
      <c r="P266" s="2"/>
      <c r="Q266" s="2" t="s">
        <v>828</v>
      </c>
      <c r="R266" s="2"/>
      <c r="S266" s="2"/>
    </row>
    <row r="267" spans="1:19" x14ac:dyDescent="0.2">
      <c r="A267">
        <v>257</v>
      </c>
      <c r="B267">
        <v>257</v>
      </c>
      <c r="C267" t="s">
        <v>328</v>
      </c>
      <c r="D267" t="s">
        <v>329</v>
      </c>
      <c r="E267" s="2" t="s">
        <v>329</v>
      </c>
      <c r="F267" cm="1">
        <f t="array" ref="F267">_xlfn.XLOOKUP(_xlfn.XLOOKUP(tblTags[[#This Row],[Tag]],db_drift!$B$2:$B$259,db_drift!$D$2:$D$259),tblInputTypes[[#All],[InputTypeName]],tblInputTypes[[#All],[InputTypeID]],"")</f>
        <v>4</v>
      </c>
      <c r="G267">
        <v>3</v>
      </c>
      <c r="I267" t="str">
        <f>_xlfn.XLOOKUP(_xlfn.XLOOKUP(tblTags[[#This Row],[Tag]],db_drift!$B$2:$B$259,db_drift!$A$2:$A$259),tblDepartmentHeadings[DepartmentHeading],tblDepartmentHeadings[DepartmentHeadingID],"")</f>
        <v/>
      </c>
      <c r="J267">
        <v>7</v>
      </c>
      <c r="K267" t="str">
        <f>_xlfn.XLOOKUP(_xlfn.XLOOKUP(tblTags[[#This Row],[Tag]],db_drift!$B$2:$B$259,db_drift!$E$2:$E$259),tblFuelTypes[FuelType],tblFuelTypes[FuelTypeID],"")</f>
        <v/>
      </c>
      <c r="L267" t="str">
        <f>_xlfn.XLOOKUP(_xlfn.XLOOKUP(tblTags[[#This Row],[Tag]],db_drift!$B$2:$B$259,db_drift!$F$2:$F$259),tblFuelAllocations[FuelAllocation],tblFuelAllocations[FuelAllocationID],"")</f>
        <v/>
      </c>
      <c r="M267" t="str">
        <f>_xlfn.XLOOKUP(tblTags[[#This Row],[Tag]],tblHelpCalc1[Tag],tblHelpCalc1[Calc1ID],"")</f>
        <v/>
      </c>
      <c r="N267" t="str">
        <f>_xlfn.XLOOKUP(tblTags[[#This Row],[Tag]],tblHelpCalc2[Tag],tblHelpCalc2[Calc2ID],"")</f>
        <v/>
      </c>
      <c r="O267" s="2" t="str">
        <f>_xlfn.XLOOKUP(_xlfn.XLOOKUP(tblTags[[#This Row],[Tag]],tblDbDrift[Tag],tblDbDrift[Hide Tags]),tblHideTags[HideTag],tblHideTags[ID],"")</f>
        <v/>
      </c>
      <c r="P267" s="2"/>
      <c r="Q267" s="2" t="s">
        <v>829</v>
      </c>
      <c r="R267" s="2"/>
      <c r="S267" s="2"/>
    </row>
    <row r="268" spans="1:19" x14ac:dyDescent="0.2">
      <c r="A268">
        <v>258</v>
      </c>
      <c r="B268">
        <v>258</v>
      </c>
      <c r="C268" t="s">
        <v>492</v>
      </c>
      <c r="D268" t="s">
        <v>493</v>
      </c>
      <c r="E268" s="2" t="s">
        <v>493</v>
      </c>
      <c r="F268" cm="1">
        <f t="array" ref="F268">_xlfn.XLOOKUP(_xlfn.XLOOKUP(tblTags[[#This Row],[Tag]],db_drift!$B$2:$B$259,db_drift!$D$2:$D$259),tblInputTypes[[#All],[InputTypeName]],tblInputTypes[[#All],[InputTypeID]],"")</f>
        <v>4</v>
      </c>
      <c r="G268">
        <v>3</v>
      </c>
      <c r="I268" t="str">
        <f>_xlfn.XLOOKUP(_xlfn.XLOOKUP(tblTags[[#This Row],[Tag]],db_drift!$B$2:$B$259,db_drift!$A$2:$A$259),tblDepartmentHeadings[DepartmentHeading],tblDepartmentHeadings[DepartmentHeadingID],"")</f>
        <v/>
      </c>
      <c r="K268" t="str">
        <f>_xlfn.XLOOKUP(_xlfn.XLOOKUP(tblTags[[#This Row],[Tag]],db_drift!$B$2:$B$259,db_drift!$E$2:$E$259),tblFuelTypes[FuelType],tblFuelTypes[FuelTypeID],"")</f>
        <v/>
      </c>
      <c r="L268" t="str">
        <f>_xlfn.XLOOKUP(_xlfn.XLOOKUP(tblTags[[#This Row],[Tag]],db_drift!$B$2:$B$259,db_drift!$F$2:$F$259),tblFuelAllocations[FuelAllocation],tblFuelAllocations[FuelAllocationID],"")</f>
        <v/>
      </c>
      <c r="M268" t="str">
        <f>_xlfn.XLOOKUP(tblTags[[#This Row],[Tag]],tblHelpCalc1[Tag],tblHelpCalc1[Calc1ID],"")</f>
        <v/>
      </c>
      <c r="N268" t="str">
        <f>_xlfn.XLOOKUP(tblTags[[#This Row],[Tag]],tblHelpCalc2[Tag],tblHelpCalc2[Calc2ID],"")</f>
        <v/>
      </c>
      <c r="O268" s="2" t="str">
        <f>_xlfn.XLOOKUP(_xlfn.XLOOKUP(tblTags[[#This Row],[Tag]],tblDbDrift[Tag],tblDbDrift[Hide Tags]),tblHideTags[HideTag],tblHideTags[ID],"")</f>
        <v/>
      </c>
      <c r="P268" s="2"/>
      <c r="Q268" s="2" t="s">
        <v>830</v>
      </c>
      <c r="R268" s="2"/>
      <c r="S268" s="2"/>
    </row>
  </sheetData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2AD43-5D4B-4BDA-98BF-DFB78EDD1EA1}">
  <sheetPr codeName="Sheet3"/>
  <dimension ref="A1:H194"/>
  <sheetViews>
    <sheetView workbookViewId="0">
      <pane ySplit="1" topLeftCell="A2" activePane="bottomLeft" state="frozen"/>
      <selection pane="bottomLeft" activeCell="B15" sqref="B15"/>
    </sheetView>
  </sheetViews>
  <sheetFormatPr defaultRowHeight="11.25" x14ac:dyDescent="0.2"/>
  <cols>
    <col min="1" max="1" width="28.1640625" bestFit="1" customWidth="1"/>
    <col min="2" max="2" width="24.83203125" bestFit="1" customWidth="1"/>
    <col min="3" max="3" width="10" bestFit="1" customWidth="1"/>
    <col min="4" max="4" width="24.83203125" bestFit="1" customWidth="1"/>
    <col min="5" max="5" width="6.83203125" bestFit="1" customWidth="1"/>
    <col min="6" max="6" width="6" bestFit="1" customWidth="1"/>
    <col min="7" max="7" width="9.6640625" bestFit="1" customWidth="1"/>
    <col min="8" max="8" width="99.33203125" bestFit="1" customWidth="1"/>
  </cols>
  <sheetData>
    <row r="1" spans="1:8" s="3" customFormat="1" x14ac:dyDescent="0.2">
      <c r="A1" s="3" t="s">
        <v>31</v>
      </c>
      <c r="B1" s="3" t="s">
        <v>831</v>
      </c>
      <c r="C1" s="3" t="s">
        <v>832</v>
      </c>
      <c r="D1" s="3" t="s">
        <v>833</v>
      </c>
      <c r="E1" s="3" t="s">
        <v>834</v>
      </c>
      <c r="F1" s="3" t="s">
        <v>835</v>
      </c>
      <c r="G1" s="3" t="s">
        <v>836</v>
      </c>
      <c r="H1" s="3" t="s">
        <v>361</v>
      </c>
    </row>
    <row r="2" spans="1:8" x14ac:dyDescent="0.2">
      <c r="A2" t="s">
        <v>34</v>
      </c>
      <c r="B2" t="s">
        <v>35</v>
      </c>
      <c r="C2" t="s">
        <v>11</v>
      </c>
      <c r="D2" t="s">
        <v>35</v>
      </c>
      <c r="F2" t="s">
        <v>339</v>
      </c>
      <c r="G2" t="s">
        <v>17</v>
      </c>
      <c r="H2" t="s">
        <v>346</v>
      </c>
    </row>
    <row r="3" spans="1:8" x14ac:dyDescent="0.2">
      <c r="A3" t="s">
        <v>36</v>
      </c>
      <c r="B3" t="s">
        <v>37</v>
      </c>
      <c r="C3" t="s">
        <v>11</v>
      </c>
      <c r="D3" t="s">
        <v>37</v>
      </c>
      <c r="F3" t="s">
        <v>337</v>
      </c>
      <c r="G3" t="s">
        <v>17</v>
      </c>
      <c r="H3" t="s">
        <v>837</v>
      </c>
    </row>
    <row r="4" spans="1:8" x14ac:dyDescent="0.2">
      <c r="A4" t="s">
        <v>38</v>
      </c>
      <c r="B4" t="s">
        <v>39</v>
      </c>
      <c r="C4" t="s">
        <v>11</v>
      </c>
      <c r="D4" t="s">
        <v>39</v>
      </c>
      <c r="F4" t="s">
        <v>339</v>
      </c>
      <c r="G4" t="s">
        <v>17</v>
      </c>
      <c r="H4" t="s">
        <v>348</v>
      </c>
    </row>
    <row r="5" spans="1:8" x14ac:dyDescent="0.2">
      <c r="A5" t="s">
        <v>40</v>
      </c>
      <c r="B5" t="s">
        <v>41</v>
      </c>
      <c r="C5" t="s">
        <v>11</v>
      </c>
      <c r="D5" t="s">
        <v>41</v>
      </c>
      <c r="F5" t="s">
        <v>337</v>
      </c>
      <c r="G5" t="s">
        <v>17</v>
      </c>
      <c r="H5" t="s">
        <v>347</v>
      </c>
    </row>
    <row r="6" spans="1:8" x14ac:dyDescent="0.2">
      <c r="A6" t="s">
        <v>42</v>
      </c>
      <c r="B6" t="s">
        <v>349</v>
      </c>
      <c r="C6" t="s">
        <v>11</v>
      </c>
      <c r="D6" t="s">
        <v>349</v>
      </c>
      <c r="F6" t="s">
        <v>339</v>
      </c>
      <c r="G6" t="s">
        <v>17</v>
      </c>
      <c r="H6" t="s">
        <v>350</v>
      </c>
    </row>
    <row r="7" spans="1:8" x14ac:dyDescent="0.2">
      <c r="A7" t="s">
        <v>43</v>
      </c>
      <c r="B7" t="s">
        <v>44</v>
      </c>
      <c r="C7" t="s">
        <v>11</v>
      </c>
      <c r="D7" t="s">
        <v>44</v>
      </c>
      <c r="F7" t="s">
        <v>339</v>
      </c>
      <c r="G7" t="s">
        <v>17</v>
      </c>
      <c r="H7" t="s">
        <v>351</v>
      </c>
    </row>
    <row r="8" spans="1:8" x14ac:dyDescent="0.2">
      <c r="A8" t="s">
        <v>45</v>
      </c>
      <c r="B8" t="s">
        <v>352</v>
      </c>
      <c r="C8" t="s">
        <v>11</v>
      </c>
      <c r="D8" t="s">
        <v>352</v>
      </c>
      <c r="F8" t="s">
        <v>339</v>
      </c>
      <c r="G8" t="s">
        <v>17</v>
      </c>
      <c r="H8" t="s">
        <v>353</v>
      </c>
    </row>
    <row r="9" spans="1:8" x14ac:dyDescent="0.2">
      <c r="A9" t="s">
        <v>46</v>
      </c>
      <c r="B9" t="s">
        <v>47</v>
      </c>
      <c r="C9" t="s">
        <v>11</v>
      </c>
      <c r="D9" t="s">
        <v>47</v>
      </c>
      <c r="F9" t="s">
        <v>339</v>
      </c>
      <c r="G9" t="s">
        <v>17</v>
      </c>
      <c r="H9" t="s">
        <v>354</v>
      </c>
    </row>
    <row r="10" spans="1:8" x14ac:dyDescent="0.2">
      <c r="A10" t="s">
        <v>48</v>
      </c>
      <c r="B10" t="s">
        <v>49</v>
      </c>
      <c r="C10" t="s">
        <v>11</v>
      </c>
      <c r="D10" t="s">
        <v>49</v>
      </c>
      <c r="F10" t="s">
        <v>339</v>
      </c>
      <c r="G10" t="s">
        <v>17</v>
      </c>
      <c r="H10" t="s">
        <v>355</v>
      </c>
    </row>
    <row r="11" spans="1:8" x14ac:dyDescent="0.2">
      <c r="A11" t="s">
        <v>50</v>
      </c>
      <c r="B11" t="s">
        <v>51</v>
      </c>
      <c r="C11" t="s">
        <v>11</v>
      </c>
      <c r="D11" t="s">
        <v>51</v>
      </c>
      <c r="F11" t="s">
        <v>339</v>
      </c>
      <c r="G11" t="s">
        <v>16</v>
      </c>
      <c r="H11" t="s">
        <v>356</v>
      </c>
    </row>
    <row r="12" spans="1:8" x14ac:dyDescent="0.2">
      <c r="A12" t="s">
        <v>52</v>
      </c>
      <c r="B12" t="s">
        <v>53</v>
      </c>
      <c r="C12" t="s">
        <v>11</v>
      </c>
      <c r="D12" t="s">
        <v>53</v>
      </c>
      <c r="F12" t="s">
        <v>339</v>
      </c>
      <c r="G12" t="s">
        <v>16</v>
      </c>
      <c r="H12" t="s">
        <v>357</v>
      </c>
    </row>
    <row r="13" spans="1:8" x14ac:dyDescent="0.2">
      <c r="A13" t="s">
        <v>54</v>
      </c>
      <c r="B13" t="s">
        <v>55</v>
      </c>
      <c r="C13" t="s">
        <v>11</v>
      </c>
      <c r="D13" t="s">
        <v>55</v>
      </c>
      <c r="F13" t="s">
        <v>339</v>
      </c>
      <c r="G13" t="s">
        <v>16</v>
      </c>
      <c r="H13" t="s">
        <v>358</v>
      </c>
    </row>
    <row r="14" spans="1:8" x14ac:dyDescent="0.2">
      <c r="A14" t="s">
        <v>56</v>
      </c>
      <c r="B14" t="s">
        <v>57</v>
      </c>
      <c r="C14" t="s">
        <v>12</v>
      </c>
      <c r="D14" t="s">
        <v>57</v>
      </c>
      <c r="G14" t="s">
        <v>17</v>
      </c>
      <c r="H14" t="s">
        <v>615</v>
      </c>
    </row>
    <row r="15" spans="1:8" x14ac:dyDescent="0.2">
      <c r="A15" t="s">
        <v>58</v>
      </c>
      <c r="B15" t="s">
        <v>377</v>
      </c>
      <c r="C15" t="s">
        <v>12</v>
      </c>
      <c r="D15" t="s">
        <v>377</v>
      </c>
      <c r="F15" t="s">
        <v>339</v>
      </c>
      <c r="G15" t="s">
        <v>17</v>
      </c>
      <c r="H15" t="s">
        <v>616</v>
      </c>
    </row>
    <row r="16" spans="1:8" x14ac:dyDescent="0.2">
      <c r="A16" t="s">
        <v>59</v>
      </c>
      <c r="B16" t="s">
        <v>378</v>
      </c>
      <c r="C16" t="s">
        <v>12</v>
      </c>
      <c r="D16" t="s">
        <v>378</v>
      </c>
      <c r="F16" t="s">
        <v>339</v>
      </c>
      <c r="G16" t="s">
        <v>17</v>
      </c>
      <c r="H16" t="s">
        <v>617</v>
      </c>
    </row>
    <row r="17" spans="1:8" x14ac:dyDescent="0.2">
      <c r="A17" t="s">
        <v>60</v>
      </c>
      <c r="B17" t="s">
        <v>379</v>
      </c>
      <c r="C17" t="s">
        <v>12</v>
      </c>
      <c r="D17" t="s">
        <v>379</v>
      </c>
      <c r="F17" t="s">
        <v>339</v>
      </c>
      <c r="G17" t="s">
        <v>17</v>
      </c>
      <c r="H17" t="s">
        <v>618</v>
      </c>
    </row>
    <row r="18" spans="1:8" x14ac:dyDescent="0.2">
      <c r="A18" t="s">
        <v>61</v>
      </c>
      <c r="B18" t="s">
        <v>380</v>
      </c>
      <c r="C18" t="s">
        <v>12</v>
      </c>
      <c r="D18" t="s">
        <v>380</v>
      </c>
      <c r="F18" t="s">
        <v>339</v>
      </c>
      <c r="G18" t="s">
        <v>17</v>
      </c>
      <c r="H18" t="s">
        <v>619</v>
      </c>
    </row>
    <row r="19" spans="1:8" x14ac:dyDescent="0.2">
      <c r="A19" t="s">
        <v>62</v>
      </c>
      <c r="B19" t="s">
        <v>381</v>
      </c>
      <c r="C19" t="s">
        <v>12</v>
      </c>
      <c r="D19" t="s">
        <v>381</v>
      </c>
      <c r="F19" t="s">
        <v>339</v>
      </c>
      <c r="G19" t="s">
        <v>17</v>
      </c>
      <c r="H19" t="s">
        <v>620</v>
      </c>
    </row>
    <row r="20" spans="1:8" x14ac:dyDescent="0.2">
      <c r="A20" t="s">
        <v>63</v>
      </c>
      <c r="B20" t="s">
        <v>64</v>
      </c>
      <c r="C20" t="s">
        <v>12</v>
      </c>
      <c r="D20" t="s">
        <v>64</v>
      </c>
      <c r="F20" t="s">
        <v>335</v>
      </c>
      <c r="G20" t="s">
        <v>17</v>
      </c>
      <c r="H20" t="s">
        <v>621</v>
      </c>
    </row>
    <row r="21" spans="1:8" x14ac:dyDescent="0.2">
      <c r="A21" t="s">
        <v>65</v>
      </c>
      <c r="B21" t="s">
        <v>66</v>
      </c>
      <c r="C21" t="s">
        <v>12</v>
      </c>
      <c r="D21" t="s">
        <v>66</v>
      </c>
      <c r="F21" t="s">
        <v>331</v>
      </c>
      <c r="G21" t="s">
        <v>17</v>
      </c>
      <c r="H21" t="s">
        <v>622</v>
      </c>
    </row>
    <row r="22" spans="1:8" x14ac:dyDescent="0.2">
      <c r="A22" t="s">
        <v>67</v>
      </c>
      <c r="B22" t="s">
        <v>68</v>
      </c>
      <c r="C22" t="s">
        <v>12</v>
      </c>
      <c r="D22" t="s">
        <v>68</v>
      </c>
      <c r="F22" t="s">
        <v>339</v>
      </c>
      <c r="G22" t="s">
        <v>18</v>
      </c>
      <c r="H22" t="s">
        <v>623</v>
      </c>
    </row>
    <row r="23" spans="1:8" x14ac:dyDescent="0.2">
      <c r="A23" t="s">
        <v>69</v>
      </c>
      <c r="B23" t="s">
        <v>70</v>
      </c>
      <c r="C23" t="s">
        <v>12</v>
      </c>
      <c r="D23" t="s">
        <v>70</v>
      </c>
      <c r="F23" t="s">
        <v>339</v>
      </c>
      <c r="G23" t="s">
        <v>18</v>
      </c>
      <c r="H23" t="s">
        <v>623</v>
      </c>
    </row>
    <row r="24" spans="1:8" x14ac:dyDescent="0.2">
      <c r="A24" t="s">
        <v>71</v>
      </c>
      <c r="B24" t="s">
        <v>382</v>
      </c>
      <c r="C24" t="s">
        <v>12</v>
      </c>
      <c r="D24" t="s">
        <v>382</v>
      </c>
      <c r="F24" t="s">
        <v>339</v>
      </c>
      <c r="G24" t="s">
        <v>18</v>
      </c>
      <c r="H24" t="s">
        <v>623</v>
      </c>
    </row>
    <row r="25" spans="1:8" x14ac:dyDescent="0.2">
      <c r="A25" t="s">
        <v>72</v>
      </c>
      <c r="B25" t="s">
        <v>73</v>
      </c>
      <c r="C25" t="s">
        <v>12</v>
      </c>
      <c r="D25" t="s">
        <v>73</v>
      </c>
      <c r="F25" t="s">
        <v>339</v>
      </c>
      <c r="G25" t="s">
        <v>18</v>
      </c>
      <c r="H25" t="s">
        <v>623</v>
      </c>
    </row>
    <row r="26" spans="1:8" x14ac:dyDescent="0.2">
      <c r="A26" t="s">
        <v>74</v>
      </c>
      <c r="B26" t="s">
        <v>75</v>
      </c>
      <c r="C26" t="s">
        <v>12</v>
      </c>
      <c r="D26" t="s">
        <v>75</v>
      </c>
      <c r="F26" t="s">
        <v>339</v>
      </c>
      <c r="G26" t="s">
        <v>18</v>
      </c>
      <c r="H26" t="s">
        <v>623</v>
      </c>
    </row>
    <row r="27" spans="1:8" x14ac:dyDescent="0.2">
      <c r="A27" t="s">
        <v>76</v>
      </c>
      <c r="B27" t="s">
        <v>77</v>
      </c>
      <c r="C27" t="s">
        <v>12</v>
      </c>
      <c r="D27" t="s">
        <v>77</v>
      </c>
      <c r="F27" t="s">
        <v>339</v>
      </c>
      <c r="G27" t="s">
        <v>16</v>
      </c>
      <c r="H27" t="s">
        <v>624</v>
      </c>
    </row>
    <row r="28" spans="1:8" x14ac:dyDescent="0.2">
      <c r="A28" t="s">
        <v>78</v>
      </c>
      <c r="B28" t="s">
        <v>383</v>
      </c>
      <c r="C28" t="s">
        <v>12</v>
      </c>
      <c r="D28" t="s">
        <v>383</v>
      </c>
      <c r="F28" t="s">
        <v>339</v>
      </c>
      <c r="G28" t="s">
        <v>16</v>
      </c>
      <c r="H28" t="s">
        <v>625</v>
      </c>
    </row>
    <row r="29" spans="1:8" x14ac:dyDescent="0.2">
      <c r="A29" t="s">
        <v>79</v>
      </c>
      <c r="B29" t="s">
        <v>384</v>
      </c>
      <c r="C29" t="s">
        <v>12</v>
      </c>
      <c r="D29" t="s">
        <v>384</v>
      </c>
      <c r="F29" t="s">
        <v>339</v>
      </c>
      <c r="G29" t="s">
        <v>16</v>
      </c>
      <c r="H29" t="s">
        <v>625</v>
      </c>
    </row>
    <row r="30" spans="1:8" x14ac:dyDescent="0.2">
      <c r="A30" t="s">
        <v>80</v>
      </c>
      <c r="B30" t="s">
        <v>385</v>
      </c>
      <c r="C30" t="s">
        <v>12</v>
      </c>
      <c r="D30" t="s">
        <v>385</v>
      </c>
      <c r="F30" t="s">
        <v>339</v>
      </c>
      <c r="G30" t="s">
        <v>16</v>
      </c>
      <c r="H30" t="s">
        <v>625</v>
      </c>
    </row>
    <row r="31" spans="1:8" x14ac:dyDescent="0.2">
      <c r="A31" t="s">
        <v>81</v>
      </c>
      <c r="B31" t="s">
        <v>366</v>
      </c>
      <c r="C31" t="s">
        <v>12</v>
      </c>
      <c r="D31" t="s">
        <v>366</v>
      </c>
      <c r="F31" t="s">
        <v>339</v>
      </c>
      <c r="G31" t="s">
        <v>16</v>
      </c>
      <c r="H31" t="s">
        <v>625</v>
      </c>
    </row>
    <row r="32" spans="1:8" x14ac:dyDescent="0.2">
      <c r="A32" t="s">
        <v>82</v>
      </c>
      <c r="B32" t="s">
        <v>367</v>
      </c>
      <c r="C32" t="s">
        <v>12</v>
      </c>
      <c r="D32" t="s">
        <v>367</v>
      </c>
      <c r="F32" t="s">
        <v>339</v>
      </c>
      <c r="G32" t="s">
        <v>16</v>
      </c>
      <c r="H32" t="s">
        <v>626</v>
      </c>
    </row>
    <row r="33" spans="1:8" x14ac:dyDescent="0.2">
      <c r="A33" t="s">
        <v>83</v>
      </c>
      <c r="B33" t="s">
        <v>84</v>
      </c>
      <c r="C33" t="s">
        <v>9</v>
      </c>
      <c r="D33" t="s">
        <v>84</v>
      </c>
      <c r="F33" t="s">
        <v>333</v>
      </c>
      <c r="G33" t="s">
        <v>17</v>
      </c>
      <c r="H33" t="s">
        <v>628</v>
      </c>
    </row>
    <row r="34" spans="1:8" x14ac:dyDescent="0.2">
      <c r="A34" t="s">
        <v>85</v>
      </c>
      <c r="B34" t="s">
        <v>86</v>
      </c>
      <c r="C34" t="s">
        <v>9</v>
      </c>
      <c r="D34" t="s">
        <v>86</v>
      </c>
      <c r="F34" t="s">
        <v>333</v>
      </c>
      <c r="G34" t="s">
        <v>17</v>
      </c>
      <c r="H34" t="s">
        <v>629</v>
      </c>
    </row>
    <row r="35" spans="1:8" x14ac:dyDescent="0.2">
      <c r="A35" t="s">
        <v>87</v>
      </c>
      <c r="B35" t="s">
        <v>88</v>
      </c>
      <c r="C35" t="s">
        <v>9</v>
      </c>
      <c r="D35" t="s">
        <v>88</v>
      </c>
      <c r="F35" t="s">
        <v>339</v>
      </c>
      <c r="G35" t="s">
        <v>17</v>
      </c>
      <c r="H35" t="s">
        <v>630</v>
      </c>
    </row>
    <row r="36" spans="1:8" x14ac:dyDescent="0.2">
      <c r="A36" t="s">
        <v>89</v>
      </c>
      <c r="B36" t="s">
        <v>386</v>
      </c>
      <c r="C36" t="s">
        <v>9</v>
      </c>
      <c r="D36" t="s">
        <v>386</v>
      </c>
      <c r="F36" t="s">
        <v>339</v>
      </c>
      <c r="G36" t="s">
        <v>17</v>
      </c>
      <c r="H36" t="s">
        <v>631</v>
      </c>
    </row>
    <row r="37" spans="1:8" x14ac:dyDescent="0.2">
      <c r="A37" t="s">
        <v>90</v>
      </c>
      <c r="B37" t="s">
        <v>387</v>
      </c>
      <c r="C37" t="s">
        <v>9</v>
      </c>
      <c r="D37" t="s">
        <v>387</v>
      </c>
      <c r="F37" t="s">
        <v>339</v>
      </c>
      <c r="G37" t="s">
        <v>17</v>
      </c>
      <c r="H37" t="s">
        <v>632</v>
      </c>
    </row>
    <row r="38" spans="1:8" x14ac:dyDescent="0.2">
      <c r="A38" t="s">
        <v>91</v>
      </c>
      <c r="B38" t="s">
        <v>92</v>
      </c>
      <c r="C38" t="s">
        <v>9</v>
      </c>
      <c r="D38" t="s">
        <v>92</v>
      </c>
      <c r="F38" t="s">
        <v>339</v>
      </c>
      <c r="G38" t="s">
        <v>17</v>
      </c>
      <c r="H38" t="s">
        <v>633</v>
      </c>
    </row>
    <row r="39" spans="1:8" x14ac:dyDescent="0.2">
      <c r="A39" t="s">
        <v>93</v>
      </c>
      <c r="B39" t="s">
        <v>94</v>
      </c>
      <c r="C39" t="s">
        <v>9</v>
      </c>
      <c r="D39" t="s">
        <v>94</v>
      </c>
      <c r="F39" t="s">
        <v>333</v>
      </c>
      <c r="G39" t="s">
        <v>17</v>
      </c>
      <c r="H39" t="s">
        <v>634</v>
      </c>
    </row>
    <row r="40" spans="1:8" x14ac:dyDescent="0.2">
      <c r="A40" t="s">
        <v>95</v>
      </c>
      <c r="B40" t="s">
        <v>96</v>
      </c>
      <c r="C40" t="s">
        <v>9</v>
      </c>
      <c r="D40" t="s">
        <v>96</v>
      </c>
      <c r="F40" t="s">
        <v>333</v>
      </c>
      <c r="G40" t="s">
        <v>17</v>
      </c>
      <c r="H40" t="s">
        <v>635</v>
      </c>
    </row>
    <row r="41" spans="1:8" x14ac:dyDescent="0.2">
      <c r="A41" t="s">
        <v>97</v>
      </c>
      <c r="B41" t="s">
        <v>98</v>
      </c>
      <c r="C41" t="s">
        <v>9</v>
      </c>
      <c r="D41" t="s">
        <v>98</v>
      </c>
      <c r="F41" t="s">
        <v>331</v>
      </c>
      <c r="G41" t="s">
        <v>17</v>
      </c>
      <c r="H41" t="s">
        <v>636</v>
      </c>
    </row>
    <row r="42" spans="1:8" x14ac:dyDescent="0.2">
      <c r="A42" t="s">
        <v>99</v>
      </c>
      <c r="B42" t="s">
        <v>388</v>
      </c>
      <c r="C42" t="s">
        <v>9</v>
      </c>
      <c r="D42" t="s">
        <v>388</v>
      </c>
      <c r="F42" t="s">
        <v>339</v>
      </c>
      <c r="G42" t="s">
        <v>17</v>
      </c>
      <c r="H42" t="s">
        <v>637</v>
      </c>
    </row>
    <row r="43" spans="1:8" x14ac:dyDescent="0.2">
      <c r="A43" t="s">
        <v>100</v>
      </c>
      <c r="B43" t="s">
        <v>101</v>
      </c>
      <c r="C43" t="s">
        <v>9</v>
      </c>
      <c r="D43" t="s">
        <v>101</v>
      </c>
      <c r="F43" t="s">
        <v>337</v>
      </c>
      <c r="G43" t="s">
        <v>18</v>
      </c>
      <c r="H43" t="s">
        <v>638</v>
      </c>
    </row>
    <row r="44" spans="1:8" x14ac:dyDescent="0.2">
      <c r="A44" t="s">
        <v>102</v>
      </c>
      <c r="B44" t="s">
        <v>103</v>
      </c>
      <c r="C44" t="s">
        <v>9</v>
      </c>
      <c r="D44" t="s">
        <v>103</v>
      </c>
      <c r="F44" t="s">
        <v>339</v>
      </c>
      <c r="G44" t="s">
        <v>16</v>
      </c>
      <c r="H44" t="s">
        <v>639</v>
      </c>
    </row>
    <row r="45" spans="1:8" x14ac:dyDescent="0.2">
      <c r="A45" t="s">
        <v>104</v>
      </c>
      <c r="B45" t="s">
        <v>105</v>
      </c>
      <c r="C45" t="s">
        <v>9</v>
      </c>
      <c r="D45" t="s">
        <v>105</v>
      </c>
      <c r="F45" t="s">
        <v>339</v>
      </c>
      <c r="G45" t="s">
        <v>16</v>
      </c>
      <c r="H45" t="s">
        <v>640</v>
      </c>
    </row>
    <row r="46" spans="1:8" x14ac:dyDescent="0.2">
      <c r="A46" t="s">
        <v>106</v>
      </c>
      <c r="B46" t="s">
        <v>107</v>
      </c>
      <c r="C46" t="s">
        <v>9</v>
      </c>
      <c r="D46" t="s">
        <v>107</v>
      </c>
      <c r="F46" t="s">
        <v>339</v>
      </c>
      <c r="G46" t="s">
        <v>16</v>
      </c>
      <c r="H46" t="s">
        <v>641</v>
      </c>
    </row>
    <row r="47" spans="1:8" x14ac:dyDescent="0.2">
      <c r="A47" t="s">
        <v>108</v>
      </c>
      <c r="B47" t="s">
        <v>109</v>
      </c>
      <c r="C47" t="s">
        <v>6</v>
      </c>
      <c r="D47" t="s">
        <v>109</v>
      </c>
      <c r="F47" t="s">
        <v>339</v>
      </c>
      <c r="G47" t="s">
        <v>17</v>
      </c>
      <c r="H47" t="s">
        <v>643</v>
      </c>
    </row>
    <row r="48" spans="1:8" x14ac:dyDescent="0.2">
      <c r="A48" t="s">
        <v>110</v>
      </c>
      <c r="B48" t="s">
        <v>111</v>
      </c>
      <c r="C48" t="s">
        <v>6</v>
      </c>
      <c r="D48" t="s">
        <v>111</v>
      </c>
      <c r="F48" t="s">
        <v>339</v>
      </c>
      <c r="G48" t="s">
        <v>17</v>
      </c>
      <c r="H48" t="s">
        <v>644</v>
      </c>
    </row>
    <row r="49" spans="1:8" x14ac:dyDescent="0.2">
      <c r="A49" t="s">
        <v>112</v>
      </c>
      <c r="B49" t="s">
        <v>113</v>
      </c>
      <c r="C49" t="s">
        <v>6</v>
      </c>
      <c r="D49" t="s">
        <v>113</v>
      </c>
      <c r="F49" t="s">
        <v>339</v>
      </c>
      <c r="G49" t="s">
        <v>17</v>
      </c>
      <c r="H49" t="s">
        <v>645</v>
      </c>
    </row>
    <row r="50" spans="1:8" x14ac:dyDescent="0.2">
      <c r="A50" t="s">
        <v>114</v>
      </c>
      <c r="B50" t="s">
        <v>115</v>
      </c>
      <c r="C50" t="s">
        <v>6</v>
      </c>
      <c r="D50" t="s">
        <v>115</v>
      </c>
      <c r="F50" t="s">
        <v>339</v>
      </c>
      <c r="G50" t="s">
        <v>17</v>
      </c>
      <c r="H50" t="s">
        <v>646</v>
      </c>
    </row>
    <row r="51" spans="1:8" x14ac:dyDescent="0.2">
      <c r="A51" t="s">
        <v>116</v>
      </c>
      <c r="B51" t="s">
        <v>117</v>
      </c>
      <c r="C51" t="s">
        <v>6</v>
      </c>
      <c r="D51" t="s">
        <v>117</v>
      </c>
      <c r="F51" t="s">
        <v>339</v>
      </c>
      <c r="G51" t="s">
        <v>17</v>
      </c>
      <c r="H51" t="s">
        <v>647</v>
      </c>
    </row>
    <row r="52" spans="1:8" x14ac:dyDescent="0.2">
      <c r="A52" t="s">
        <v>118</v>
      </c>
      <c r="B52" t="s">
        <v>119</v>
      </c>
      <c r="C52" t="s">
        <v>6</v>
      </c>
      <c r="D52" t="s">
        <v>119</v>
      </c>
      <c r="F52" t="s">
        <v>339</v>
      </c>
      <c r="G52" t="s">
        <v>17</v>
      </c>
      <c r="H52" t="s">
        <v>648</v>
      </c>
    </row>
    <row r="53" spans="1:8" x14ac:dyDescent="0.2">
      <c r="A53" t="s">
        <v>120</v>
      </c>
      <c r="B53" t="s">
        <v>121</v>
      </c>
      <c r="C53" t="s">
        <v>6</v>
      </c>
      <c r="D53" t="s">
        <v>121</v>
      </c>
      <c r="F53" t="s">
        <v>339</v>
      </c>
      <c r="G53" t="s">
        <v>17</v>
      </c>
      <c r="H53" t="s">
        <v>649</v>
      </c>
    </row>
    <row r="54" spans="1:8" x14ac:dyDescent="0.2">
      <c r="A54" t="s">
        <v>122</v>
      </c>
      <c r="B54" t="s">
        <v>123</v>
      </c>
      <c r="C54" t="s">
        <v>6</v>
      </c>
      <c r="D54" t="s">
        <v>123</v>
      </c>
      <c r="F54" t="s">
        <v>339</v>
      </c>
      <c r="G54" t="s">
        <v>17</v>
      </c>
      <c r="H54" t="s">
        <v>650</v>
      </c>
    </row>
    <row r="55" spans="1:8" x14ac:dyDescent="0.2">
      <c r="A55" t="s">
        <v>124</v>
      </c>
      <c r="B55" t="s">
        <v>125</v>
      </c>
      <c r="C55" t="s">
        <v>6</v>
      </c>
      <c r="D55" t="s">
        <v>125</v>
      </c>
      <c r="F55" t="s">
        <v>339</v>
      </c>
      <c r="G55" t="s">
        <v>17</v>
      </c>
      <c r="H55" t="s">
        <v>651</v>
      </c>
    </row>
    <row r="56" spans="1:8" x14ac:dyDescent="0.2">
      <c r="A56" t="s">
        <v>126</v>
      </c>
      <c r="B56" t="s">
        <v>127</v>
      </c>
      <c r="C56" t="s">
        <v>6</v>
      </c>
      <c r="D56" t="s">
        <v>127</v>
      </c>
      <c r="F56" t="s">
        <v>339</v>
      </c>
      <c r="G56" t="s">
        <v>17</v>
      </c>
      <c r="H56" t="s">
        <v>652</v>
      </c>
    </row>
    <row r="57" spans="1:8" x14ac:dyDescent="0.2">
      <c r="A57" t="s">
        <v>128</v>
      </c>
      <c r="B57" t="s">
        <v>129</v>
      </c>
      <c r="C57" t="s">
        <v>6</v>
      </c>
      <c r="D57" t="s">
        <v>129</v>
      </c>
      <c r="F57" t="s">
        <v>339</v>
      </c>
      <c r="G57" t="s">
        <v>17</v>
      </c>
      <c r="H57" t="s">
        <v>653</v>
      </c>
    </row>
    <row r="58" spans="1:8" x14ac:dyDescent="0.2">
      <c r="A58" t="s">
        <v>130</v>
      </c>
      <c r="B58" t="s">
        <v>389</v>
      </c>
      <c r="C58" t="s">
        <v>5</v>
      </c>
      <c r="D58" t="s">
        <v>389</v>
      </c>
      <c r="F58" t="s">
        <v>333</v>
      </c>
      <c r="G58" t="s">
        <v>17</v>
      </c>
      <c r="H58" t="s">
        <v>654</v>
      </c>
    </row>
    <row r="59" spans="1:8" x14ac:dyDescent="0.2">
      <c r="A59" t="s">
        <v>131</v>
      </c>
      <c r="B59" t="s">
        <v>125</v>
      </c>
      <c r="C59" t="s">
        <v>5</v>
      </c>
      <c r="D59" t="s">
        <v>125</v>
      </c>
      <c r="F59" t="s">
        <v>339</v>
      </c>
      <c r="G59" t="s">
        <v>17</v>
      </c>
      <c r="H59" t="s">
        <v>655</v>
      </c>
    </row>
    <row r="60" spans="1:8" x14ac:dyDescent="0.2">
      <c r="A60" t="s">
        <v>132</v>
      </c>
      <c r="B60" t="s">
        <v>390</v>
      </c>
      <c r="C60" t="s">
        <v>2</v>
      </c>
      <c r="D60" t="s">
        <v>390</v>
      </c>
      <c r="F60" t="s">
        <v>333</v>
      </c>
      <c r="G60" t="s">
        <v>17</v>
      </c>
      <c r="H60" t="s">
        <v>657</v>
      </c>
    </row>
    <row r="61" spans="1:8" x14ac:dyDescent="0.2">
      <c r="A61" t="s">
        <v>133</v>
      </c>
      <c r="B61" t="s">
        <v>134</v>
      </c>
      <c r="C61" t="s">
        <v>2</v>
      </c>
      <c r="D61" t="s">
        <v>134</v>
      </c>
      <c r="F61" t="s">
        <v>339</v>
      </c>
      <c r="G61" t="s">
        <v>17</v>
      </c>
      <c r="H61" t="s">
        <v>658</v>
      </c>
    </row>
    <row r="62" spans="1:8" x14ac:dyDescent="0.2">
      <c r="A62" t="s">
        <v>135</v>
      </c>
      <c r="B62" t="s">
        <v>136</v>
      </c>
      <c r="C62" t="s">
        <v>2</v>
      </c>
      <c r="D62" t="s">
        <v>136</v>
      </c>
      <c r="F62" t="s">
        <v>339</v>
      </c>
      <c r="G62" t="s">
        <v>17</v>
      </c>
      <c r="H62" t="s">
        <v>659</v>
      </c>
    </row>
    <row r="63" spans="1:8" x14ac:dyDescent="0.2">
      <c r="A63" t="s">
        <v>137</v>
      </c>
      <c r="B63" t="s">
        <v>138</v>
      </c>
      <c r="C63" t="s">
        <v>2</v>
      </c>
      <c r="D63" t="s">
        <v>138</v>
      </c>
      <c r="F63" t="s">
        <v>339</v>
      </c>
      <c r="G63" t="s">
        <v>17</v>
      </c>
      <c r="H63" t="s">
        <v>660</v>
      </c>
    </row>
    <row r="64" spans="1:8" x14ac:dyDescent="0.2">
      <c r="A64" t="s">
        <v>139</v>
      </c>
      <c r="B64" t="s">
        <v>140</v>
      </c>
      <c r="C64" t="s">
        <v>2</v>
      </c>
      <c r="D64" t="s">
        <v>140</v>
      </c>
      <c r="F64" t="s">
        <v>339</v>
      </c>
      <c r="G64" t="s">
        <v>17</v>
      </c>
      <c r="H64" t="s">
        <v>661</v>
      </c>
    </row>
    <row r="65" spans="1:8" x14ac:dyDescent="0.2">
      <c r="A65" t="s">
        <v>141</v>
      </c>
      <c r="B65" t="s">
        <v>142</v>
      </c>
      <c r="C65" t="s">
        <v>2</v>
      </c>
      <c r="D65" t="s">
        <v>142</v>
      </c>
      <c r="F65" t="s">
        <v>339</v>
      </c>
      <c r="G65" t="s">
        <v>17</v>
      </c>
      <c r="H65" t="s">
        <v>662</v>
      </c>
    </row>
    <row r="66" spans="1:8" x14ac:dyDescent="0.2">
      <c r="A66" t="s">
        <v>143</v>
      </c>
      <c r="B66" t="s">
        <v>391</v>
      </c>
      <c r="C66" t="s">
        <v>2</v>
      </c>
      <c r="D66" t="s">
        <v>391</v>
      </c>
      <c r="F66" t="s">
        <v>339</v>
      </c>
      <c r="G66" t="s">
        <v>17</v>
      </c>
      <c r="H66" t="s">
        <v>663</v>
      </c>
    </row>
    <row r="67" spans="1:8" x14ac:dyDescent="0.2">
      <c r="A67" t="s">
        <v>144</v>
      </c>
      <c r="B67" t="s">
        <v>388</v>
      </c>
      <c r="C67" t="s">
        <v>2</v>
      </c>
      <c r="D67" t="s">
        <v>388</v>
      </c>
      <c r="F67" t="s">
        <v>339</v>
      </c>
      <c r="G67" t="s">
        <v>17</v>
      </c>
      <c r="H67" t="s">
        <v>664</v>
      </c>
    </row>
    <row r="68" spans="1:8" x14ac:dyDescent="0.2">
      <c r="A68" t="s">
        <v>145</v>
      </c>
      <c r="B68" t="s">
        <v>146</v>
      </c>
      <c r="C68" t="s">
        <v>2</v>
      </c>
      <c r="D68" t="s">
        <v>146</v>
      </c>
      <c r="F68" t="s">
        <v>334</v>
      </c>
      <c r="G68" t="s">
        <v>17</v>
      </c>
      <c r="H68" t="s">
        <v>665</v>
      </c>
    </row>
    <row r="69" spans="1:8" x14ac:dyDescent="0.2">
      <c r="A69" t="s">
        <v>147</v>
      </c>
      <c r="B69" t="s">
        <v>64</v>
      </c>
      <c r="C69" t="s">
        <v>2</v>
      </c>
      <c r="D69" t="s">
        <v>64</v>
      </c>
      <c r="F69" t="s">
        <v>335</v>
      </c>
      <c r="G69" t="s">
        <v>17</v>
      </c>
      <c r="H69" t="s">
        <v>666</v>
      </c>
    </row>
    <row r="70" spans="1:8" x14ac:dyDescent="0.2">
      <c r="A70" t="s">
        <v>148</v>
      </c>
      <c r="B70" t="s">
        <v>392</v>
      </c>
      <c r="C70" t="s">
        <v>3</v>
      </c>
      <c r="D70" t="s">
        <v>392</v>
      </c>
      <c r="F70" t="s">
        <v>333</v>
      </c>
      <c r="G70" t="s">
        <v>17</v>
      </c>
      <c r="H70" t="s">
        <v>668</v>
      </c>
    </row>
    <row r="71" spans="1:8" x14ac:dyDescent="0.2">
      <c r="A71" t="s">
        <v>149</v>
      </c>
      <c r="B71" t="s">
        <v>134</v>
      </c>
      <c r="C71" t="s">
        <v>3</v>
      </c>
      <c r="D71" t="s">
        <v>134</v>
      </c>
      <c r="F71" t="s">
        <v>339</v>
      </c>
      <c r="G71" t="s">
        <v>17</v>
      </c>
      <c r="H71" t="s">
        <v>658</v>
      </c>
    </row>
    <row r="72" spans="1:8" x14ac:dyDescent="0.2">
      <c r="A72" t="s">
        <v>150</v>
      </c>
      <c r="B72" t="s">
        <v>136</v>
      </c>
      <c r="C72" t="s">
        <v>3</v>
      </c>
      <c r="D72" t="s">
        <v>136</v>
      </c>
      <c r="F72" t="s">
        <v>339</v>
      </c>
      <c r="G72" t="s">
        <v>17</v>
      </c>
      <c r="H72" t="s">
        <v>659</v>
      </c>
    </row>
    <row r="73" spans="1:8" x14ac:dyDescent="0.2">
      <c r="A73" t="s">
        <v>151</v>
      </c>
      <c r="B73" t="s">
        <v>138</v>
      </c>
      <c r="C73" t="s">
        <v>3</v>
      </c>
      <c r="D73" t="s">
        <v>138</v>
      </c>
      <c r="F73" t="s">
        <v>339</v>
      </c>
      <c r="G73" t="s">
        <v>17</v>
      </c>
      <c r="H73" t="s">
        <v>660</v>
      </c>
    </row>
    <row r="74" spans="1:8" x14ac:dyDescent="0.2">
      <c r="A74" t="s">
        <v>152</v>
      </c>
      <c r="B74" t="s">
        <v>140</v>
      </c>
      <c r="C74" t="s">
        <v>3</v>
      </c>
      <c r="D74" t="s">
        <v>140</v>
      </c>
      <c r="F74" t="s">
        <v>339</v>
      </c>
      <c r="G74" t="s">
        <v>17</v>
      </c>
      <c r="H74" t="s">
        <v>661</v>
      </c>
    </row>
    <row r="75" spans="1:8" x14ac:dyDescent="0.2">
      <c r="A75" t="s">
        <v>153</v>
      </c>
      <c r="B75" t="s">
        <v>142</v>
      </c>
      <c r="C75" t="s">
        <v>3</v>
      </c>
      <c r="D75" t="s">
        <v>142</v>
      </c>
      <c r="F75" t="s">
        <v>339</v>
      </c>
      <c r="G75" t="s">
        <v>17</v>
      </c>
      <c r="H75" t="s">
        <v>662</v>
      </c>
    </row>
    <row r="76" spans="1:8" x14ac:dyDescent="0.2">
      <c r="A76" t="s">
        <v>154</v>
      </c>
      <c r="B76" t="s">
        <v>391</v>
      </c>
      <c r="C76" t="s">
        <v>3</v>
      </c>
      <c r="D76" t="s">
        <v>391</v>
      </c>
      <c r="F76" t="s">
        <v>339</v>
      </c>
      <c r="G76" t="s">
        <v>17</v>
      </c>
      <c r="H76" t="s">
        <v>663</v>
      </c>
    </row>
    <row r="77" spans="1:8" x14ac:dyDescent="0.2">
      <c r="A77" t="s">
        <v>155</v>
      </c>
      <c r="B77" t="s">
        <v>388</v>
      </c>
      <c r="C77" t="s">
        <v>3</v>
      </c>
      <c r="D77" t="s">
        <v>388</v>
      </c>
      <c r="F77" t="s">
        <v>339</v>
      </c>
      <c r="G77" t="s">
        <v>17</v>
      </c>
      <c r="H77" t="s">
        <v>664</v>
      </c>
    </row>
    <row r="78" spans="1:8" x14ac:dyDescent="0.2">
      <c r="A78" t="s">
        <v>156</v>
      </c>
      <c r="B78" t="s">
        <v>146</v>
      </c>
      <c r="C78" t="s">
        <v>3</v>
      </c>
      <c r="D78" t="s">
        <v>146</v>
      </c>
      <c r="F78" t="s">
        <v>334</v>
      </c>
      <c r="G78" t="s">
        <v>17</v>
      </c>
      <c r="H78" t="s">
        <v>665</v>
      </c>
    </row>
    <row r="79" spans="1:8" x14ac:dyDescent="0.2">
      <c r="A79" t="s">
        <v>157</v>
      </c>
      <c r="B79" t="s">
        <v>64</v>
      </c>
      <c r="C79" t="s">
        <v>3</v>
      </c>
      <c r="D79" t="s">
        <v>64</v>
      </c>
      <c r="F79" t="s">
        <v>335</v>
      </c>
      <c r="G79" t="s">
        <v>17</v>
      </c>
      <c r="H79" t="s">
        <v>669</v>
      </c>
    </row>
    <row r="80" spans="1:8" x14ac:dyDescent="0.2">
      <c r="A80" t="s">
        <v>158</v>
      </c>
      <c r="B80" t="s">
        <v>159</v>
      </c>
      <c r="C80" t="s">
        <v>3</v>
      </c>
      <c r="D80" t="s">
        <v>159</v>
      </c>
      <c r="F80" t="s">
        <v>333</v>
      </c>
      <c r="G80" t="s">
        <v>17</v>
      </c>
      <c r="H80" t="s">
        <v>670</v>
      </c>
    </row>
    <row r="81" spans="1:8" x14ac:dyDescent="0.2">
      <c r="A81" t="s">
        <v>160</v>
      </c>
      <c r="B81" t="s">
        <v>161</v>
      </c>
      <c r="C81" t="s">
        <v>3</v>
      </c>
      <c r="D81" t="s">
        <v>161</v>
      </c>
      <c r="F81" t="s">
        <v>335</v>
      </c>
      <c r="G81" t="s">
        <v>17</v>
      </c>
      <c r="H81" t="s">
        <v>671</v>
      </c>
    </row>
    <row r="82" spans="1:8" x14ac:dyDescent="0.2">
      <c r="A82" t="s">
        <v>162</v>
      </c>
      <c r="B82" t="s">
        <v>163</v>
      </c>
      <c r="C82" t="s">
        <v>3</v>
      </c>
      <c r="D82" t="s">
        <v>163</v>
      </c>
      <c r="F82" t="s">
        <v>335</v>
      </c>
      <c r="G82" t="s">
        <v>16</v>
      </c>
      <c r="H82" t="s">
        <v>672</v>
      </c>
    </row>
    <row r="83" spans="1:8" x14ac:dyDescent="0.2">
      <c r="A83" t="s">
        <v>164</v>
      </c>
      <c r="B83" t="s">
        <v>392</v>
      </c>
      <c r="C83" t="s">
        <v>3</v>
      </c>
      <c r="D83" t="s">
        <v>392</v>
      </c>
      <c r="F83" t="s">
        <v>333</v>
      </c>
      <c r="G83" t="s">
        <v>17</v>
      </c>
      <c r="H83" t="s">
        <v>674</v>
      </c>
    </row>
    <row r="84" spans="1:8" x14ac:dyDescent="0.2">
      <c r="A84" t="s">
        <v>165</v>
      </c>
      <c r="B84" t="s">
        <v>134</v>
      </c>
      <c r="C84" t="s">
        <v>3</v>
      </c>
      <c r="D84" t="s">
        <v>134</v>
      </c>
      <c r="F84" t="s">
        <v>339</v>
      </c>
      <c r="G84" t="s">
        <v>17</v>
      </c>
      <c r="H84" t="s">
        <v>658</v>
      </c>
    </row>
    <row r="85" spans="1:8" x14ac:dyDescent="0.2">
      <c r="A85" t="s">
        <v>166</v>
      </c>
      <c r="B85" t="s">
        <v>136</v>
      </c>
      <c r="C85" t="s">
        <v>3</v>
      </c>
      <c r="D85" t="s">
        <v>136</v>
      </c>
      <c r="F85" t="s">
        <v>339</v>
      </c>
      <c r="G85" t="s">
        <v>17</v>
      </c>
      <c r="H85" t="s">
        <v>659</v>
      </c>
    </row>
    <row r="86" spans="1:8" x14ac:dyDescent="0.2">
      <c r="A86" t="s">
        <v>167</v>
      </c>
      <c r="B86" t="s">
        <v>138</v>
      </c>
      <c r="C86" t="s">
        <v>3</v>
      </c>
      <c r="D86" t="s">
        <v>138</v>
      </c>
      <c r="F86" t="s">
        <v>339</v>
      </c>
      <c r="G86" t="s">
        <v>17</v>
      </c>
      <c r="H86" t="s">
        <v>660</v>
      </c>
    </row>
    <row r="87" spans="1:8" x14ac:dyDescent="0.2">
      <c r="A87" t="s">
        <v>168</v>
      </c>
      <c r="B87" t="s">
        <v>142</v>
      </c>
      <c r="C87" t="s">
        <v>3</v>
      </c>
      <c r="D87" t="s">
        <v>142</v>
      </c>
      <c r="F87" t="s">
        <v>339</v>
      </c>
      <c r="G87" t="s">
        <v>17</v>
      </c>
      <c r="H87" t="s">
        <v>662</v>
      </c>
    </row>
    <row r="88" spans="1:8" x14ac:dyDescent="0.2">
      <c r="A88" t="s">
        <v>169</v>
      </c>
      <c r="B88" t="s">
        <v>391</v>
      </c>
      <c r="C88" t="s">
        <v>3</v>
      </c>
      <c r="D88" t="s">
        <v>391</v>
      </c>
      <c r="F88" t="s">
        <v>339</v>
      </c>
      <c r="G88" t="s">
        <v>17</v>
      </c>
      <c r="H88" t="s">
        <v>663</v>
      </c>
    </row>
    <row r="89" spans="1:8" x14ac:dyDescent="0.2">
      <c r="A89" t="s">
        <v>170</v>
      </c>
      <c r="B89" t="s">
        <v>388</v>
      </c>
      <c r="C89" t="s">
        <v>3</v>
      </c>
      <c r="D89" t="s">
        <v>388</v>
      </c>
      <c r="F89" t="s">
        <v>339</v>
      </c>
      <c r="G89" t="s">
        <v>17</v>
      </c>
      <c r="H89" t="s">
        <v>664</v>
      </c>
    </row>
    <row r="90" spans="1:8" x14ac:dyDescent="0.2">
      <c r="A90" t="s">
        <v>171</v>
      </c>
      <c r="B90" t="s">
        <v>146</v>
      </c>
      <c r="C90" t="s">
        <v>3</v>
      </c>
      <c r="D90" t="s">
        <v>146</v>
      </c>
      <c r="F90" t="s">
        <v>334</v>
      </c>
      <c r="G90" t="s">
        <v>17</v>
      </c>
      <c r="H90" t="s">
        <v>665</v>
      </c>
    </row>
    <row r="91" spans="1:8" x14ac:dyDescent="0.2">
      <c r="A91" t="s">
        <v>172</v>
      </c>
      <c r="B91" t="s">
        <v>64</v>
      </c>
      <c r="C91" t="s">
        <v>3</v>
      </c>
      <c r="D91" t="s">
        <v>64</v>
      </c>
      <c r="F91" t="s">
        <v>335</v>
      </c>
      <c r="G91" t="s">
        <v>17</v>
      </c>
      <c r="H91" t="s">
        <v>675</v>
      </c>
    </row>
    <row r="92" spans="1:8" x14ac:dyDescent="0.2">
      <c r="A92" t="s">
        <v>173</v>
      </c>
      <c r="B92" t="s">
        <v>159</v>
      </c>
      <c r="C92" t="s">
        <v>3</v>
      </c>
      <c r="D92" t="s">
        <v>159</v>
      </c>
      <c r="F92" t="s">
        <v>333</v>
      </c>
      <c r="G92" t="s">
        <v>17</v>
      </c>
      <c r="H92" t="s">
        <v>670</v>
      </c>
    </row>
    <row r="93" spans="1:8" x14ac:dyDescent="0.2">
      <c r="A93" t="s">
        <v>174</v>
      </c>
      <c r="B93" t="s">
        <v>161</v>
      </c>
      <c r="C93" t="s">
        <v>3</v>
      </c>
      <c r="D93" t="s">
        <v>161</v>
      </c>
      <c r="F93" t="s">
        <v>335</v>
      </c>
      <c r="G93" t="s">
        <v>17</v>
      </c>
      <c r="H93" t="s">
        <v>676</v>
      </c>
    </row>
    <row r="94" spans="1:8" x14ac:dyDescent="0.2">
      <c r="A94" t="s">
        <v>175</v>
      </c>
      <c r="B94" t="s">
        <v>163</v>
      </c>
      <c r="C94" t="s">
        <v>3</v>
      </c>
      <c r="D94" t="s">
        <v>163</v>
      </c>
      <c r="F94" t="s">
        <v>335</v>
      </c>
      <c r="G94" t="s">
        <v>16</v>
      </c>
      <c r="H94" t="s">
        <v>677</v>
      </c>
    </row>
    <row r="95" spans="1:8" x14ac:dyDescent="0.2">
      <c r="A95" t="s">
        <v>176</v>
      </c>
      <c r="B95" t="s">
        <v>177</v>
      </c>
      <c r="C95" t="s">
        <v>13</v>
      </c>
      <c r="D95" t="s">
        <v>177</v>
      </c>
      <c r="F95" t="s">
        <v>339</v>
      </c>
      <c r="G95" t="s">
        <v>17</v>
      </c>
      <c r="H95" t="s">
        <v>679</v>
      </c>
    </row>
    <row r="96" spans="1:8" x14ac:dyDescent="0.2">
      <c r="A96" t="s">
        <v>178</v>
      </c>
      <c r="B96" t="s">
        <v>179</v>
      </c>
      <c r="C96" t="s">
        <v>13</v>
      </c>
      <c r="D96" t="s">
        <v>179</v>
      </c>
      <c r="F96" t="s">
        <v>339</v>
      </c>
      <c r="G96" t="s">
        <v>17</v>
      </c>
      <c r="H96" t="s">
        <v>680</v>
      </c>
    </row>
    <row r="97" spans="1:8" x14ac:dyDescent="0.2">
      <c r="A97" t="s">
        <v>180</v>
      </c>
      <c r="B97" t="s">
        <v>181</v>
      </c>
      <c r="C97" t="s">
        <v>13</v>
      </c>
      <c r="D97" t="s">
        <v>181</v>
      </c>
      <c r="F97" t="s">
        <v>339</v>
      </c>
      <c r="G97" t="s">
        <v>17</v>
      </c>
      <c r="H97" t="s">
        <v>681</v>
      </c>
    </row>
    <row r="98" spans="1:8" x14ac:dyDescent="0.2">
      <c r="A98" t="s">
        <v>182</v>
      </c>
      <c r="B98" t="s">
        <v>183</v>
      </c>
      <c r="C98" t="s">
        <v>13</v>
      </c>
      <c r="D98" t="s">
        <v>183</v>
      </c>
      <c r="F98" t="s">
        <v>339</v>
      </c>
      <c r="G98" t="s">
        <v>17</v>
      </c>
      <c r="H98" t="s">
        <v>682</v>
      </c>
    </row>
    <row r="99" spans="1:8" x14ac:dyDescent="0.2">
      <c r="A99" t="s">
        <v>184</v>
      </c>
      <c r="B99" t="s">
        <v>185</v>
      </c>
      <c r="C99" t="s">
        <v>13</v>
      </c>
      <c r="D99" t="s">
        <v>185</v>
      </c>
      <c r="F99" t="s">
        <v>339</v>
      </c>
      <c r="G99" t="s">
        <v>17</v>
      </c>
      <c r="H99" t="s">
        <v>683</v>
      </c>
    </row>
    <row r="100" spans="1:8" x14ac:dyDescent="0.2">
      <c r="A100" t="s">
        <v>186</v>
      </c>
      <c r="B100" t="s">
        <v>187</v>
      </c>
      <c r="C100" t="s">
        <v>13</v>
      </c>
      <c r="D100" t="s">
        <v>187</v>
      </c>
      <c r="F100" t="s">
        <v>339</v>
      </c>
      <c r="G100" t="s">
        <v>17</v>
      </c>
      <c r="H100" t="s">
        <v>684</v>
      </c>
    </row>
    <row r="101" spans="1:8" x14ac:dyDescent="0.2">
      <c r="A101" t="s">
        <v>188</v>
      </c>
      <c r="B101" t="s">
        <v>189</v>
      </c>
      <c r="C101" t="s">
        <v>13</v>
      </c>
      <c r="D101" t="s">
        <v>189</v>
      </c>
      <c r="F101" t="s">
        <v>339</v>
      </c>
      <c r="G101" t="s">
        <v>17</v>
      </c>
      <c r="H101" t="s">
        <v>685</v>
      </c>
    </row>
    <row r="102" spans="1:8" x14ac:dyDescent="0.2">
      <c r="A102" t="s">
        <v>190</v>
      </c>
      <c r="B102" t="s">
        <v>191</v>
      </c>
      <c r="C102" t="s">
        <v>13</v>
      </c>
      <c r="D102" t="s">
        <v>191</v>
      </c>
      <c r="F102" t="s">
        <v>339</v>
      </c>
      <c r="G102" t="s">
        <v>17</v>
      </c>
      <c r="H102" t="s">
        <v>686</v>
      </c>
    </row>
    <row r="103" spans="1:8" x14ac:dyDescent="0.2">
      <c r="A103" t="s">
        <v>192</v>
      </c>
      <c r="B103" t="s">
        <v>393</v>
      </c>
      <c r="C103" t="s">
        <v>13</v>
      </c>
      <c r="D103" t="s">
        <v>393</v>
      </c>
      <c r="F103" t="s">
        <v>339</v>
      </c>
      <c r="G103" t="s">
        <v>17</v>
      </c>
      <c r="H103" t="s">
        <v>687</v>
      </c>
    </row>
    <row r="104" spans="1:8" x14ac:dyDescent="0.2">
      <c r="A104" t="s">
        <v>193</v>
      </c>
      <c r="B104" t="s">
        <v>194</v>
      </c>
      <c r="C104" t="s">
        <v>10</v>
      </c>
      <c r="D104" t="s">
        <v>194</v>
      </c>
      <c r="F104" t="s">
        <v>339</v>
      </c>
      <c r="G104" t="s">
        <v>17</v>
      </c>
      <c r="H104" t="s">
        <v>689</v>
      </c>
    </row>
    <row r="105" spans="1:8" x14ac:dyDescent="0.2">
      <c r="A105" t="s">
        <v>195</v>
      </c>
      <c r="B105" t="s">
        <v>196</v>
      </c>
      <c r="C105" t="s">
        <v>10</v>
      </c>
      <c r="D105" t="s">
        <v>196</v>
      </c>
      <c r="F105" t="s">
        <v>339</v>
      </c>
      <c r="G105" t="s">
        <v>17</v>
      </c>
      <c r="H105" t="s">
        <v>690</v>
      </c>
    </row>
    <row r="106" spans="1:8" x14ac:dyDescent="0.2">
      <c r="A106" t="s">
        <v>197</v>
      </c>
      <c r="B106" t="s">
        <v>198</v>
      </c>
      <c r="C106" t="s">
        <v>10</v>
      </c>
      <c r="D106" t="s">
        <v>198</v>
      </c>
      <c r="F106" t="s">
        <v>339</v>
      </c>
      <c r="G106" t="s">
        <v>17</v>
      </c>
      <c r="H106" t="s">
        <v>691</v>
      </c>
    </row>
    <row r="107" spans="1:8" x14ac:dyDescent="0.2">
      <c r="A107" t="s">
        <v>199</v>
      </c>
      <c r="B107" t="s">
        <v>200</v>
      </c>
      <c r="C107" t="s">
        <v>10</v>
      </c>
      <c r="D107" t="s">
        <v>200</v>
      </c>
      <c r="F107" t="s">
        <v>339</v>
      </c>
      <c r="G107" t="s">
        <v>17</v>
      </c>
      <c r="H107" t="s">
        <v>692</v>
      </c>
    </row>
    <row r="108" spans="1:8" x14ac:dyDescent="0.2">
      <c r="A108" t="s">
        <v>201</v>
      </c>
      <c r="B108" t="s">
        <v>202</v>
      </c>
      <c r="C108" t="s">
        <v>10</v>
      </c>
      <c r="D108" t="s">
        <v>202</v>
      </c>
      <c r="F108" t="s">
        <v>339</v>
      </c>
      <c r="G108" t="s">
        <v>17</v>
      </c>
      <c r="H108" t="s">
        <v>693</v>
      </c>
    </row>
    <row r="109" spans="1:8" x14ac:dyDescent="0.2">
      <c r="A109" t="s">
        <v>203</v>
      </c>
      <c r="B109" t="s">
        <v>204</v>
      </c>
      <c r="C109" t="s">
        <v>10</v>
      </c>
      <c r="D109" t="s">
        <v>204</v>
      </c>
      <c r="F109" t="s">
        <v>339</v>
      </c>
      <c r="G109" t="s">
        <v>17</v>
      </c>
      <c r="H109" t="s">
        <v>694</v>
      </c>
    </row>
    <row r="110" spans="1:8" x14ac:dyDescent="0.2">
      <c r="A110" t="s">
        <v>205</v>
      </c>
      <c r="B110" t="s">
        <v>206</v>
      </c>
      <c r="C110" t="s">
        <v>10</v>
      </c>
      <c r="D110" t="s">
        <v>206</v>
      </c>
      <c r="F110" t="s">
        <v>339</v>
      </c>
      <c r="G110" t="s">
        <v>17</v>
      </c>
      <c r="H110" t="s">
        <v>695</v>
      </c>
    </row>
    <row r="111" spans="1:8" x14ac:dyDescent="0.2">
      <c r="A111" t="s">
        <v>207</v>
      </c>
      <c r="B111" t="s">
        <v>208</v>
      </c>
      <c r="C111" t="s">
        <v>10</v>
      </c>
      <c r="D111" t="s">
        <v>208</v>
      </c>
      <c r="F111" t="s">
        <v>339</v>
      </c>
      <c r="G111" t="s">
        <v>17</v>
      </c>
      <c r="H111" t="s">
        <v>696</v>
      </c>
    </row>
    <row r="112" spans="1:8" x14ac:dyDescent="0.2">
      <c r="A112" t="s">
        <v>209</v>
      </c>
      <c r="B112" t="s">
        <v>210</v>
      </c>
      <c r="C112" t="s">
        <v>10</v>
      </c>
      <c r="D112" t="s">
        <v>210</v>
      </c>
      <c r="F112" t="s">
        <v>339</v>
      </c>
      <c r="G112" t="s">
        <v>17</v>
      </c>
      <c r="H112" t="s">
        <v>697</v>
      </c>
    </row>
    <row r="113" spans="1:8" x14ac:dyDescent="0.2">
      <c r="A113" t="s">
        <v>211</v>
      </c>
      <c r="B113" t="s">
        <v>212</v>
      </c>
      <c r="C113" t="s">
        <v>10</v>
      </c>
      <c r="D113" t="s">
        <v>212</v>
      </c>
      <c r="F113" t="s">
        <v>339</v>
      </c>
      <c r="G113" t="s">
        <v>17</v>
      </c>
      <c r="H113" t="s">
        <v>698</v>
      </c>
    </row>
    <row r="114" spans="1:8" x14ac:dyDescent="0.2">
      <c r="A114" t="s">
        <v>213</v>
      </c>
      <c r="B114" t="s">
        <v>214</v>
      </c>
      <c r="C114" t="s">
        <v>10</v>
      </c>
      <c r="D114" t="s">
        <v>214</v>
      </c>
      <c r="F114" t="s">
        <v>339</v>
      </c>
      <c r="G114" t="s">
        <v>17</v>
      </c>
      <c r="H114" t="s">
        <v>699</v>
      </c>
    </row>
    <row r="115" spans="1:8" x14ac:dyDescent="0.2">
      <c r="A115" t="s">
        <v>215</v>
      </c>
      <c r="B115" t="s">
        <v>216</v>
      </c>
      <c r="C115" t="s">
        <v>10</v>
      </c>
      <c r="D115" t="s">
        <v>216</v>
      </c>
      <c r="F115" t="s">
        <v>339</v>
      </c>
      <c r="G115" t="s">
        <v>17</v>
      </c>
      <c r="H115" t="s">
        <v>700</v>
      </c>
    </row>
    <row r="116" spans="1:8" x14ac:dyDescent="0.2">
      <c r="A116" t="s">
        <v>217</v>
      </c>
      <c r="B116" t="s">
        <v>218</v>
      </c>
      <c r="C116" t="s">
        <v>10</v>
      </c>
      <c r="D116" t="s">
        <v>218</v>
      </c>
      <c r="F116" t="s">
        <v>339</v>
      </c>
      <c r="G116" t="s">
        <v>17</v>
      </c>
      <c r="H116" t="s">
        <v>701</v>
      </c>
    </row>
    <row r="117" spans="1:8" x14ac:dyDescent="0.2">
      <c r="A117" t="s">
        <v>219</v>
      </c>
      <c r="B117" t="s">
        <v>220</v>
      </c>
      <c r="C117" t="s">
        <v>10</v>
      </c>
      <c r="D117" t="s">
        <v>220</v>
      </c>
      <c r="F117" t="s">
        <v>339</v>
      </c>
      <c r="G117" t="s">
        <v>17</v>
      </c>
      <c r="H117" t="s">
        <v>702</v>
      </c>
    </row>
    <row r="118" spans="1:8" x14ac:dyDescent="0.2">
      <c r="A118" t="s">
        <v>221</v>
      </c>
      <c r="B118" t="s">
        <v>146</v>
      </c>
      <c r="C118" t="s">
        <v>10</v>
      </c>
      <c r="D118" t="s">
        <v>146</v>
      </c>
      <c r="F118" t="s">
        <v>339</v>
      </c>
      <c r="G118" t="s">
        <v>17</v>
      </c>
      <c r="H118" t="s">
        <v>703</v>
      </c>
    </row>
    <row r="119" spans="1:8" x14ac:dyDescent="0.2">
      <c r="A119" t="s">
        <v>222</v>
      </c>
      <c r="B119" t="s">
        <v>223</v>
      </c>
      <c r="C119" t="s">
        <v>10</v>
      </c>
      <c r="D119" t="s">
        <v>223</v>
      </c>
      <c r="F119" t="s">
        <v>339</v>
      </c>
      <c r="G119" t="s">
        <v>17</v>
      </c>
      <c r="H119" t="s">
        <v>704</v>
      </c>
    </row>
    <row r="120" spans="1:8" x14ac:dyDescent="0.2">
      <c r="A120" t="s">
        <v>224</v>
      </c>
      <c r="B120" t="s">
        <v>225</v>
      </c>
      <c r="C120" t="s">
        <v>10</v>
      </c>
      <c r="D120" t="s">
        <v>225</v>
      </c>
      <c r="F120" t="s">
        <v>339</v>
      </c>
      <c r="G120" t="s">
        <v>17</v>
      </c>
      <c r="H120" t="s">
        <v>705</v>
      </c>
    </row>
    <row r="121" spans="1:8" x14ac:dyDescent="0.2">
      <c r="A121" t="s">
        <v>226</v>
      </c>
      <c r="B121" t="s">
        <v>227</v>
      </c>
      <c r="C121" t="s">
        <v>10</v>
      </c>
      <c r="D121" t="s">
        <v>227</v>
      </c>
      <c r="F121" t="s">
        <v>339</v>
      </c>
      <c r="G121" t="s">
        <v>17</v>
      </c>
      <c r="H121" t="s">
        <v>706</v>
      </c>
    </row>
    <row r="122" spans="1:8" x14ac:dyDescent="0.2">
      <c r="A122" t="s">
        <v>228</v>
      </c>
      <c r="B122" t="s">
        <v>229</v>
      </c>
      <c r="C122" t="s">
        <v>10</v>
      </c>
      <c r="D122" t="s">
        <v>229</v>
      </c>
      <c r="F122" t="s">
        <v>339</v>
      </c>
      <c r="G122" t="s">
        <v>17</v>
      </c>
      <c r="H122" t="s">
        <v>707</v>
      </c>
    </row>
    <row r="123" spans="1:8" x14ac:dyDescent="0.2">
      <c r="A123" t="s">
        <v>230</v>
      </c>
      <c r="B123" t="s">
        <v>231</v>
      </c>
      <c r="C123" t="s">
        <v>10</v>
      </c>
      <c r="D123" t="s">
        <v>231</v>
      </c>
      <c r="F123" t="s">
        <v>339</v>
      </c>
      <c r="G123" t="s">
        <v>17</v>
      </c>
      <c r="H123" t="s">
        <v>708</v>
      </c>
    </row>
    <row r="124" spans="1:8" x14ac:dyDescent="0.2">
      <c r="A124" t="s">
        <v>232</v>
      </c>
      <c r="B124" t="s">
        <v>233</v>
      </c>
      <c r="C124" t="s">
        <v>10</v>
      </c>
      <c r="D124" t="s">
        <v>233</v>
      </c>
      <c r="F124" t="s">
        <v>339</v>
      </c>
      <c r="G124" t="s">
        <v>17</v>
      </c>
      <c r="H124" t="s">
        <v>709</v>
      </c>
    </row>
    <row r="125" spans="1:8" x14ac:dyDescent="0.2">
      <c r="A125" t="s">
        <v>234</v>
      </c>
      <c r="B125" t="s">
        <v>92</v>
      </c>
      <c r="C125" t="s">
        <v>10</v>
      </c>
      <c r="D125" t="s">
        <v>92</v>
      </c>
      <c r="F125" t="s">
        <v>339</v>
      </c>
      <c r="G125" t="s">
        <v>17</v>
      </c>
      <c r="H125" t="s">
        <v>710</v>
      </c>
    </row>
    <row r="126" spans="1:8" x14ac:dyDescent="0.2">
      <c r="A126" t="s">
        <v>235</v>
      </c>
      <c r="B126" t="s">
        <v>236</v>
      </c>
      <c r="C126" t="s">
        <v>10</v>
      </c>
      <c r="D126" t="s">
        <v>236</v>
      </c>
      <c r="F126" t="s">
        <v>339</v>
      </c>
      <c r="G126" t="s">
        <v>17</v>
      </c>
      <c r="H126" t="s">
        <v>711</v>
      </c>
    </row>
    <row r="127" spans="1:8" x14ac:dyDescent="0.2">
      <c r="A127" t="s">
        <v>237</v>
      </c>
      <c r="B127" t="s">
        <v>238</v>
      </c>
      <c r="C127" t="s">
        <v>10</v>
      </c>
      <c r="D127" t="s">
        <v>238</v>
      </c>
      <c r="F127" t="s">
        <v>339</v>
      </c>
      <c r="G127" t="s">
        <v>17</v>
      </c>
      <c r="H127" t="s">
        <v>712</v>
      </c>
    </row>
    <row r="128" spans="1:8" x14ac:dyDescent="0.2">
      <c r="A128" t="s">
        <v>239</v>
      </c>
      <c r="B128" t="s">
        <v>240</v>
      </c>
      <c r="C128" t="s">
        <v>10</v>
      </c>
      <c r="D128" t="s">
        <v>240</v>
      </c>
      <c r="F128" t="s">
        <v>339</v>
      </c>
      <c r="G128" t="s">
        <v>17</v>
      </c>
      <c r="H128" t="s">
        <v>713</v>
      </c>
    </row>
    <row r="129" spans="1:8" x14ac:dyDescent="0.2">
      <c r="A129" t="s">
        <v>241</v>
      </c>
      <c r="B129" t="s">
        <v>242</v>
      </c>
      <c r="C129" t="s">
        <v>10</v>
      </c>
      <c r="D129" t="s">
        <v>242</v>
      </c>
      <c r="F129" t="s">
        <v>339</v>
      </c>
      <c r="G129" t="s">
        <v>17</v>
      </c>
      <c r="H129" t="s">
        <v>714</v>
      </c>
    </row>
    <row r="130" spans="1:8" x14ac:dyDescent="0.2">
      <c r="A130" t="s">
        <v>243</v>
      </c>
      <c r="B130" t="s">
        <v>109</v>
      </c>
      <c r="C130" t="s">
        <v>8</v>
      </c>
      <c r="D130" t="s">
        <v>109</v>
      </c>
      <c r="F130" t="s">
        <v>337</v>
      </c>
      <c r="G130" t="s">
        <v>16</v>
      </c>
      <c r="H130" t="s">
        <v>716</v>
      </c>
    </row>
    <row r="131" spans="1:8" x14ac:dyDescent="0.2">
      <c r="A131" t="s">
        <v>244</v>
      </c>
      <c r="B131" t="s">
        <v>111</v>
      </c>
      <c r="C131" t="s">
        <v>8</v>
      </c>
      <c r="D131" t="s">
        <v>111</v>
      </c>
      <c r="F131" t="s">
        <v>337</v>
      </c>
      <c r="G131" t="s">
        <v>16</v>
      </c>
      <c r="H131" t="s">
        <v>717</v>
      </c>
    </row>
    <row r="132" spans="1:8" x14ac:dyDescent="0.2">
      <c r="A132" t="s">
        <v>245</v>
      </c>
      <c r="B132" t="s">
        <v>246</v>
      </c>
      <c r="C132" t="s">
        <v>8</v>
      </c>
      <c r="D132" t="s">
        <v>246</v>
      </c>
      <c r="F132" t="s">
        <v>337</v>
      </c>
      <c r="G132" t="s">
        <v>16</v>
      </c>
      <c r="H132" t="s">
        <v>718</v>
      </c>
    </row>
    <row r="133" spans="1:8" x14ac:dyDescent="0.2">
      <c r="A133" t="s">
        <v>247</v>
      </c>
      <c r="B133" t="s">
        <v>115</v>
      </c>
      <c r="C133" t="s">
        <v>8</v>
      </c>
      <c r="D133" t="s">
        <v>115</v>
      </c>
      <c r="F133" t="s">
        <v>337</v>
      </c>
      <c r="G133" t="s">
        <v>16</v>
      </c>
      <c r="H133" t="s">
        <v>719</v>
      </c>
    </row>
    <row r="134" spans="1:8" x14ac:dyDescent="0.2">
      <c r="A134" t="s">
        <v>248</v>
      </c>
      <c r="B134" t="s">
        <v>117</v>
      </c>
      <c r="C134" t="s">
        <v>8</v>
      </c>
      <c r="D134" t="s">
        <v>117</v>
      </c>
      <c r="F134" t="s">
        <v>337</v>
      </c>
      <c r="G134" t="s">
        <v>16</v>
      </c>
      <c r="H134" t="s">
        <v>720</v>
      </c>
    </row>
    <row r="135" spans="1:8" x14ac:dyDescent="0.2">
      <c r="A135" t="s">
        <v>249</v>
      </c>
      <c r="B135" t="s">
        <v>250</v>
      </c>
      <c r="C135" t="s">
        <v>8</v>
      </c>
      <c r="D135" t="s">
        <v>250</v>
      </c>
      <c r="F135" t="s">
        <v>337</v>
      </c>
      <c r="G135" t="s">
        <v>16</v>
      </c>
      <c r="H135" t="s">
        <v>721</v>
      </c>
    </row>
    <row r="136" spans="1:8" x14ac:dyDescent="0.2">
      <c r="A136" t="s">
        <v>251</v>
      </c>
      <c r="B136" t="s">
        <v>121</v>
      </c>
      <c r="C136" t="s">
        <v>8</v>
      </c>
      <c r="D136" t="s">
        <v>121</v>
      </c>
      <c r="F136" t="s">
        <v>337</v>
      </c>
      <c r="G136" t="s">
        <v>16</v>
      </c>
      <c r="H136" t="s">
        <v>722</v>
      </c>
    </row>
    <row r="137" spans="1:8" x14ac:dyDescent="0.2">
      <c r="A137" t="s">
        <v>252</v>
      </c>
      <c r="B137" t="s">
        <v>123</v>
      </c>
      <c r="C137" t="s">
        <v>8</v>
      </c>
      <c r="D137" t="s">
        <v>123</v>
      </c>
      <c r="F137" t="s">
        <v>337</v>
      </c>
      <c r="G137" t="s">
        <v>16</v>
      </c>
      <c r="H137" t="s">
        <v>723</v>
      </c>
    </row>
    <row r="138" spans="1:8" x14ac:dyDescent="0.2">
      <c r="A138" t="s">
        <v>253</v>
      </c>
      <c r="B138" t="s">
        <v>125</v>
      </c>
      <c r="C138" t="s">
        <v>8</v>
      </c>
      <c r="D138" t="s">
        <v>125</v>
      </c>
      <c r="F138" t="s">
        <v>337</v>
      </c>
      <c r="G138" t="s">
        <v>16</v>
      </c>
      <c r="H138" t="s">
        <v>724</v>
      </c>
    </row>
    <row r="139" spans="1:8" x14ac:dyDescent="0.2">
      <c r="A139" t="s">
        <v>254</v>
      </c>
      <c r="B139" t="s">
        <v>255</v>
      </c>
      <c r="C139" t="s">
        <v>8</v>
      </c>
      <c r="D139" t="s">
        <v>255</v>
      </c>
      <c r="F139" t="s">
        <v>337</v>
      </c>
      <c r="G139" t="s">
        <v>16</v>
      </c>
      <c r="H139" t="s">
        <v>725</v>
      </c>
    </row>
    <row r="140" spans="1:8" x14ac:dyDescent="0.2">
      <c r="A140" t="s">
        <v>256</v>
      </c>
      <c r="B140" t="s">
        <v>257</v>
      </c>
      <c r="C140" t="s">
        <v>8</v>
      </c>
      <c r="D140" t="s">
        <v>257</v>
      </c>
      <c r="F140" t="s">
        <v>337</v>
      </c>
      <c r="G140" t="s">
        <v>16</v>
      </c>
      <c r="H140" t="s">
        <v>726</v>
      </c>
    </row>
    <row r="141" spans="1:8" x14ac:dyDescent="0.2">
      <c r="A141" t="s">
        <v>395</v>
      </c>
      <c r="B141" t="s">
        <v>109</v>
      </c>
      <c r="C141" t="s">
        <v>7</v>
      </c>
      <c r="D141" t="s">
        <v>109</v>
      </c>
      <c r="F141" t="s">
        <v>332</v>
      </c>
      <c r="G141" t="s">
        <v>16</v>
      </c>
      <c r="H141" t="s">
        <v>728</v>
      </c>
    </row>
    <row r="142" spans="1:8" x14ac:dyDescent="0.2">
      <c r="A142" t="s">
        <v>396</v>
      </c>
      <c r="B142" t="s">
        <v>111</v>
      </c>
      <c r="C142" t="s">
        <v>7</v>
      </c>
      <c r="D142" t="s">
        <v>111</v>
      </c>
      <c r="F142" t="s">
        <v>332</v>
      </c>
      <c r="G142" t="s">
        <v>16</v>
      </c>
      <c r="H142" t="s">
        <v>729</v>
      </c>
    </row>
    <row r="143" spans="1:8" x14ac:dyDescent="0.2">
      <c r="A143" t="s">
        <v>397</v>
      </c>
      <c r="B143" t="s">
        <v>246</v>
      </c>
      <c r="C143" t="s">
        <v>7</v>
      </c>
      <c r="D143" t="s">
        <v>246</v>
      </c>
      <c r="F143" t="s">
        <v>331</v>
      </c>
      <c r="G143" t="s">
        <v>16</v>
      </c>
      <c r="H143" t="s">
        <v>730</v>
      </c>
    </row>
    <row r="144" spans="1:8" x14ac:dyDescent="0.2">
      <c r="A144" t="s">
        <v>398</v>
      </c>
      <c r="B144" t="s">
        <v>115</v>
      </c>
      <c r="C144" t="s">
        <v>7</v>
      </c>
      <c r="D144" t="s">
        <v>115</v>
      </c>
      <c r="F144" t="s">
        <v>331</v>
      </c>
      <c r="G144" t="s">
        <v>16</v>
      </c>
      <c r="H144" t="s">
        <v>731</v>
      </c>
    </row>
    <row r="145" spans="1:8" x14ac:dyDescent="0.2">
      <c r="A145" t="s">
        <v>399</v>
      </c>
      <c r="B145" t="s">
        <v>117</v>
      </c>
      <c r="C145" t="s">
        <v>7</v>
      </c>
      <c r="D145" t="s">
        <v>117</v>
      </c>
      <c r="F145" t="s">
        <v>339</v>
      </c>
      <c r="G145" t="s">
        <v>16</v>
      </c>
      <c r="H145" t="s">
        <v>732</v>
      </c>
    </row>
    <row r="146" spans="1:8" x14ac:dyDescent="0.2">
      <c r="A146" t="s">
        <v>400</v>
      </c>
      <c r="B146" t="s">
        <v>250</v>
      </c>
      <c r="C146" t="s">
        <v>7</v>
      </c>
      <c r="D146" t="s">
        <v>250</v>
      </c>
      <c r="F146" t="s">
        <v>339</v>
      </c>
      <c r="G146" t="s">
        <v>16</v>
      </c>
      <c r="H146" t="s">
        <v>733</v>
      </c>
    </row>
    <row r="147" spans="1:8" x14ac:dyDescent="0.2">
      <c r="A147" t="s">
        <v>401</v>
      </c>
      <c r="B147" t="s">
        <v>121</v>
      </c>
      <c r="C147" t="s">
        <v>7</v>
      </c>
      <c r="D147" t="s">
        <v>121</v>
      </c>
      <c r="F147" t="s">
        <v>339</v>
      </c>
      <c r="G147" t="s">
        <v>16</v>
      </c>
      <c r="H147" t="s">
        <v>734</v>
      </c>
    </row>
    <row r="148" spans="1:8" x14ac:dyDescent="0.2">
      <c r="A148" t="s">
        <v>402</v>
      </c>
      <c r="B148" t="s">
        <v>123</v>
      </c>
      <c r="C148" t="s">
        <v>7</v>
      </c>
      <c r="D148" t="s">
        <v>123</v>
      </c>
      <c r="F148" t="s">
        <v>331</v>
      </c>
      <c r="G148" t="s">
        <v>16</v>
      </c>
      <c r="H148" t="s">
        <v>735</v>
      </c>
    </row>
    <row r="149" spans="1:8" x14ac:dyDescent="0.2">
      <c r="A149" t="s">
        <v>403</v>
      </c>
      <c r="B149" t="s">
        <v>125</v>
      </c>
      <c r="C149" t="s">
        <v>7</v>
      </c>
      <c r="D149" t="s">
        <v>125</v>
      </c>
      <c r="F149" t="s">
        <v>331</v>
      </c>
      <c r="G149" t="s">
        <v>16</v>
      </c>
      <c r="H149" t="s">
        <v>736</v>
      </c>
    </row>
    <row r="150" spans="1:8" x14ac:dyDescent="0.2">
      <c r="A150" t="s">
        <v>404</v>
      </c>
      <c r="B150" t="s">
        <v>255</v>
      </c>
      <c r="C150" t="s">
        <v>7</v>
      </c>
      <c r="D150" t="s">
        <v>255</v>
      </c>
      <c r="F150" t="s">
        <v>339</v>
      </c>
      <c r="G150" t="s">
        <v>16</v>
      </c>
      <c r="H150" t="s">
        <v>737</v>
      </c>
    </row>
    <row r="151" spans="1:8" x14ac:dyDescent="0.2">
      <c r="A151" t="s">
        <v>405</v>
      </c>
      <c r="B151" t="s">
        <v>257</v>
      </c>
      <c r="C151" t="s">
        <v>4</v>
      </c>
      <c r="D151" t="s">
        <v>257</v>
      </c>
      <c r="G151" t="s">
        <v>16</v>
      </c>
      <c r="H151" t="s">
        <v>738</v>
      </c>
    </row>
    <row r="152" spans="1:8" x14ac:dyDescent="0.2">
      <c r="A152" t="s">
        <v>407</v>
      </c>
      <c r="B152" t="s">
        <v>109</v>
      </c>
      <c r="C152" t="s">
        <v>4</v>
      </c>
      <c r="D152" t="s">
        <v>109</v>
      </c>
      <c r="F152" t="s">
        <v>339</v>
      </c>
      <c r="G152" t="s">
        <v>16</v>
      </c>
      <c r="H152" t="s">
        <v>740</v>
      </c>
    </row>
    <row r="153" spans="1:8" x14ac:dyDescent="0.2">
      <c r="A153" t="s">
        <v>408</v>
      </c>
      <c r="B153" t="s">
        <v>111</v>
      </c>
      <c r="C153" t="s">
        <v>4</v>
      </c>
      <c r="D153" t="s">
        <v>111</v>
      </c>
      <c r="F153" t="s">
        <v>331</v>
      </c>
      <c r="G153" t="s">
        <v>16</v>
      </c>
      <c r="H153" t="s">
        <v>741</v>
      </c>
    </row>
    <row r="154" spans="1:8" x14ac:dyDescent="0.2">
      <c r="A154" t="s">
        <v>409</v>
      </c>
      <c r="B154" t="s">
        <v>246</v>
      </c>
      <c r="C154" t="s">
        <v>4</v>
      </c>
      <c r="D154" t="s">
        <v>246</v>
      </c>
      <c r="F154" t="s">
        <v>338</v>
      </c>
      <c r="G154" t="s">
        <v>16</v>
      </c>
      <c r="H154" t="s">
        <v>742</v>
      </c>
    </row>
    <row r="155" spans="1:8" x14ac:dyDescent="0.2">
      <c r="A155" t="s">
        <v>410</v>
      </c>
      <c r="B155" t="s">
        <v>115</v>
      </c>
      <c r="C155" t="s">
        <v>4</v>
      </c>
      <c r="D155" t="s">
        <v>115</v>
      </c>
      <c r="F155" t="s">
        <v>336</v>
      </c>
      <c r="G155" t="s">
        <v>16</v>
      </c>
      <c r="H155" t="s">
        <v>743</v>
      </c>
    </row>
    <row r="156" spans="1:8" x14ac:dyDescent="0.2">
      <c r="A156" t="s">
        <v>411</v>
      </c>
      <c r="B156" t="s">
        <v>117</v>
      </c>
      <c r="C156" t="s">
        <v>4</v>
      </c>
      <c r="D156" t="s">
        <v>117</v>
      </c>
      <c r="F156" t="s">
        <v>331</v>
      </c>
      <c r="G156" t="s">
        <v>16</v>
      </c>
      <c r="H156" t="s">
        <v>744</v>
      </c>
    </row>
    <row r="157" spans="1:8" x14ac:dyDescent="0.2">
      <c r="A157" t="s">
        <v>412</v>
      </c>
      <c r="B157" t="s">
        <v>250</v>
      </c>
      <c r="C157" t="s">
        <v>4</v>
      </c>
      <c r="D157" t="s">
        <v>250</v>
      </c>
      <c r="F157" t="s">
        <v>331</v>
      </c>
      <c r="G157" t="s">
        <v>16</v>
      </c>
      <c r="H157" t="s">
        <v>745</v>
      </c>
    </row>
    <row r="158" spans="1:8" x14ac:dyDescent="0.2">
      <c r="A158" t="s">
        <v>413</v>
      </c>
      <c r="B158" t="s">
        <v>121</v>
      </c>
      <c r="C158" t="s">
        <v>4</v>
      </c>
      <c r="D158" t="s">
        <v>121</v>
      </c>
      <c r="F158" t="s">
        <v>331</v>
      </c>
      <c r="G158" t="s">
        <v>16</v>
      </c>
      <c r="H158" t="s">
        <v>746</v>
      </c>
    </row>
    <row r="159" spans="1:8" x14ac:dyDescent="0.2">
      <c r="A159" t="s">
        <v>414</v>
      </c>
      <c r="B159" t="s">
        <v>123</v>
      </c>
      <c r="C159" t="s">
        <v>4</v>
      </c>
      <c r="D159" t="s">
        <v>123</v>
      </c>
      <c r="F159" t="s">
        <v>331</v>
      </c>
      <c r="G159" t="s">
        <v>16</v>
      </c>
      <c r="H159" t="s">
        <v>747</v>
      </c>
    </row>
    <row r="160" spans="1:8" x14ac:dyDescent="0.2">
      <c r="A160" t="s">
        <v>415</v>
      </c>
      <c r="B160" t="s">
        <v>125</v>
      </c>
      <c r="C160" t="s">
        <v>4</v>
      </c>
      <c r="D160" t="s">
        <v>125</v>
      </c>
      <c r="F160" t="s">
        <v>331</v>
      </c>
      <c r="G160" t="s">
        <v>16</v>
      </c>
      <c r="H160" t="s">
        <v>748</v>
      </c>
    </row>
    <row r="161" spans="1:8" x14ac:dyDescent="0.2">
      <c r="A161" t="s">
        <v>416</v>
      </c>
      <c r="B161" t="s">
        <v>255</v>
      </c>
      <c r="C161" t="s">
        <v>4</v>
      </c>
      <c r="D161" t="s">
        <v>255</v>
      </c>
      <c r="F161" t="s">
        <v>331</v>
      </c>
      <c r="G161" t="s">
        <v>16</v>
      </c>
      <c r="H161" t="s">
        <v>749</v>
      </c>
    </row>
    <row r="162" spans="1:8" x14ac:dyDescent="0.2">
      <c r="A162" t="s">
        <v>417</v>
      </c>
      <c r="B162" t="s">
        <v>257</v>
      </c>
      <c r="C162" t="s">
        <v>4</v>
      </c>
      <c r="D162" t="s">
        <v>257</v>
      </c>
      <c r="F162" t="s">
        <v>331</v>
      </c>
      <c r="G162" t="s">
        <v>16</v>
      </c>
      <c r="H162" t="s">
        <v>750</v>
      </c>
    </row>
    <row r="163" spans="1:8" x14ac:dyDescent="0.2">
      <c r="A163" t="s">
        <v>418</v>
      </c>
      <c r="B163" t="s">
        <v>109</v>
      </c>
      <c r="C163" t="s">
        <v>4</v>
      </c>
      <c r="D163" t="s">
        <v>109</v>
      </c>
      <c r="G163" t="s">
        <v>16</v>
      </c>
      <c r="H163" t="s">
        <v>751</v>
      </c>
    </row>
    <row r="164" spans="1:8" x14ac:dyDescent="0.2">
      <c r="A164" t="s">
        <v>419</v>
      </c>
      <c r="B164" t="s">
        <v>111</v>
      </c>
      <c r="C164" t="s">
        <v>4</v>
      </c>
      <c r="D164" t="s">
        <v>111</v>
      </c>
      <c r="F164" t="s">
        <v>333</v>
      </c>
      <c r="G164" t="s">
        <v>16</v>
      </c>
      <c r="H164" t="s">
        <v>752</v>
      </c>
    </row>
    <row r="165" spans="1:8" x14ac:dyDescent="0.2">
      <c r="A165" t="s">
        <v>420</v>
      </c>
      <c r="B165" t="s">
        <v>246</v>
      </c>
      <c r="C165" t="s">
        <v>4</v>
      </c>
      <c r="D165" t="s">
        <v>246</v>
      </c>
      <c r="F165" t="s">
        <v>339</v>
      </c>
      <c r="G165" t="s">
        <v>16</v>
      </c>
      <c r="H165" t="s">
        <v>753</v>
      </c>
    </row>
    <row r="166" spans="1:8" x14ac:dyDescent="0.2">
      <c r="A166" t="s">
        <v>421</v>
      </c>
      <c r="B166" t="s">
        <v>115</v>
      </c>
      <c r="C166" t="s">
        <v>4</v>
      </c>
      <c r="D166" t="s">
        <v>115</v>
      </c>
      <c r="F166" t="s">
        <v>331</v>
      </c>
      <c r="G166" t="s">
        <v>16</v>
      </c>
      <c r="H166" t="s">
        <v>754</v>
      </c>
    </row>
    <row r="167" spans="1:8" x14ac:dyDescent="0.2">
      <c r="A167" t="s">
        <v>422</v>
      </c>
      <c r="B167" t="s">
        <v>117</v>
      </c>
      <c r="C167" t="s">
        <v>4</v>
      </c>
      <c r="D167" t="s">
        <v>117</v>
      </c>
      <c r="F167" t="s">
        <v>338</v>
      </c>
      <c r="G167" t="s">
        <v>16</v>
      </c>
      <c r="H167" t="s">
        <v>755</v>
      </c>
    </row>
    <row r="168" spans="1:8" x14ac:dyDescent="0.2">
      <c r="A168" t="s">
        <v>423</v>
      </c>
      <c r="B168" t="s">
        <v>250</v>
      </c>
      <c r="C168" t="s">
        <v>4</v>
      </c>
      <c r="D168" t="s">
        <v>250</v>
      </c>
      <c r="F168" t="s">
        <v>336</v>
      </c>
      <c r="G168" t="s">
        <v>16</v>
      </c>
      <c r="H168" t="s">
        <v>756</v>
      </c>
    </row>
    <row r="169" spans="1:8" x14ac:dyDescent="0.2">
      <c r="A169" t="s">
        <v>424</v>
      </c>
      <c r="B169" t="s">
        <v>121</v>
      </c>
      <c r="C169" t="s">
        <v>4</v>
      </c>
      <c r="D169" t="s">
        <v>121</v>
      </c>
      <c r="F169" t="s">
        <v>331</v>
      </c>
      <c r="G169" t="s">
        <v>16</v>
      </c>
      <c r="H169" t="s">
        <v>757</v>
      </c>
    </row>
    <row r="170" spans="1:8" x14ac:dyDescent="0.2">
      <c r="A170" t="s">
        <v>425</v>
      </c>
      <c r="B170" t="s">
        <v>123</v>
      </c>
      <c r="C170" t="s">
        <v>4</v>
      </c>
      <c r="D170" t="s">
        <v>123</v>
      </c>
      <c r="F170" t="s">
        <v>331</v>
      </c>
      <c r="G170" t="s">
        <v>16</v>
      </c>
      <c r="H170" t="s">
        <v>758</v>
      </c>
    </row>
    <row r="171" spans="1:8" x14ac:dyDescent="0.2">
      <c r="A171" t="s">
        <v>426</v>
      </c>
      <c r="B171" t="s">
        <v>125</v>
      </c>
      <c r="C171" t="s">
        <v>4</v>
      </c>
      <c r="D171" t="s">
        <v>125</v>
      </c>
      <c r="F171" t="s">
        <v>331</v>
      </c>
      <c r="G171" t="s">
        <v>16</v>
      </c>
      <c r="H171" t="s">
        <v>759</v>
      </c>
    </row>
    <row r="172" spans="1:8" x14ac:dyDescent="0.2">
      <c r="A172" t="s">
        <v>427</v>
      </c>
      <c r="B172" t="s">
        <v>255</v>
      </c>
      <c r="C172" t="s">
        <v>4</v>
      </c>
      <c r="D172" t="s">
        <v>255</v>
      </c>
      <c r="F172" t="s">
        <v>331</v>
      </c>
      <c r="G172" t="s">
        <v>16</v>
      </c>
      <c r="H172" t="s">
        <v>760</v>
      </c>
    </row>
    <row r="173" spans="1:8" x14ac:dyDescent="0.2">
      <c r="A173" t="s">
        <v>428</v>
      </c>
      <c r="B173" t="s">
        <v>257</v>
      </c>
      <c r="C173" t="s">
        <v>4</v>
      </c>
      <c r="D173" t="s">
        <v>257</v>
      </c>
      <c r="F173" t="s">
        <v>331</v>
      </c>
      <c r="G173" t="s">
        <v>16</v>
      </c>
      <c r="H173" t="s">
        <v>761</v>
      </c>
    </row>
    <row r="174" spans="1:8" x14ac:dyDescent="0.2">
      <c r="A174" t="s">
        <v>258</v>
      </c>
      <c r="B174" t="s">
        <v>259</v>
      </c>
      <c r="C174" t="s">
        <v>4</v>
      </c>
      <c r="D174" t="s">
        <v>259</v>
      </c>
      <c r="F174" t="s">
        <v>331</v>
      </c>
      <c r="G174" t="s">
        <v>19</v>
      </c>
      <c r="H174" t="s">
        <v>763</v>
      </c>
    </row>
    <row r="175" spans="1:8" x14ac:dyDescent="0.2">
      <c r="A175" t="s">
        <v>260</v>
      </c>
      <c r="B175" t="s">
        <v>261</v>
      </c>
      <c r="C175" t="s">
        <v>4</v>
      </c>
      <c r="D175" t="s">
        <v>261</v>
      </c>
      <c r="G175" t="s">
        <v>19</v>
      </c>
      <c r="H175" t="s">
        <v>764</v>
      </c>
    </row>
    <row r="176" spans="1:8" x14ac:dyDescent="0.2">
      <c r="A176" t="s">
        <v>262</v>
      </c>
      <c r="B176" t="s">
        <v>263</v>
      </c>
      <c r="C176" t="s">
        <v>4</v>
      </c>
      <c r="D176" t="s">
        <v>263</v>
      </c>
      <c r="F176" t="s">
        <v>333</v>
      </c>
      <c r="G176" t="s">
        <v>19</v>
      </c>
      <c r="H176" t="s">
        <v>765</v>
      </c>
    </row>
    <row r="177" spans="1:8" x14ac:dyDescent="0.2">
      <c r="A177" t="s">
        <v>264</v>
      </c>
      <c r="B177" t="s">
        <v>265</v>
      </c>
      <c r="C177" t="s">
        <v>4</v>
      </c>
      <c r="D177" t="s">
        <v>265</v>
      </c>
      <c r="F177" t="s">
        <v>339</v>
      </c>
      <c r="G177" t="s">
        <v>19</v>
      </c>
      <c r="H177" t="s">
        <v>766</v>
      </c>
    </row>
    <row r="178" spans="1:8" x14ac:dyDescent="0.2">
      <c r="A178" t="s">
        <v>266</v>
      </c>
      <c r="B178" t="s">
        <v>267</v>
      </c>
      <c r="C178" t="s">
        <v>4</v>
      </c>
      <c r="D178" t="s">
        <v>267</v>
      </c>
      <c r="F178" t="s">
        <v>331</v>
      </c>
      <c r="G178" t="s">
        <v>19</v>
      </c>
      <c r="H178" t="s">
        <v>767</v>
      </c>
    </row>
    <row r="179" spans="1:8" x14ac:dyDescent="0.2">
      <c r="A179" t="s">
        <v>268</v>
      </c>
      <c r="B179" t="s">
        <v>269</v>
      </c>
      <c r="C179" t="s">
        <v>4</v>
      </c>
      <c r="D179" t="s">
        <v>269</v>
      </c>
      <c r="F179" t="s">
        <v>338</v>
      </c>
      <c r="G179" t="s">
        <v>19</v>
      </c>
      <c r="H179" t="s">
        <v>767</v>
      </c>
    </row>
    <row r="180" spans="1:8" x14ac:dyDescent="0.2">
      <c r="A180" t="s">
        <v>270</v>
      </c>
      <c r="B180" t="s">
        <v>271</v>
      </c>
      <c r="C180" t="s">
        <v>4</v>
      </c>
      <c r="D180" t="s">
        <v>271</v>
      </c>
      <c r="F180" t="s">
        <v>336</v>
      </c>
      <c r="G180" t="s">
        <v>19</v>
      </c>
      <c r="H180" t="s">
        <v>767</v>
      </c>
    </row>
    <row r="181" spans="1:8" x14ac:dyDescent="0.2">
      <c r="A181" t="s">
        <v>272</v>
      </c>
      <c r="B181" t="s">
        <v>273</v>
      </c>
      <c r="C181" t="s">
        <v>4</v>
      </c>
      <c r="D181" t="s">
        <v>273</v>
      </c>
      <c r="F181" t="s">
        <v>331</v>
      </c>
      <c r="G181" t="s">
        <v>19</v>
      </c>
      <c r="H181" t="s">
        <v>768</v>
      </c>
    </row>
    <row r="182" spans="1:8" x14ac:dyDescent="0.2">
      <c r="A182" t="s">
        <v>274</v>
      </c>
      <c r="B182" t="s">
        <v>275</v>
      </c>
      <c r="C182" t="s">
        <v>4</v>
      </c>
      <c r="D182" t="s">
        <v>275</v>
      </c>
      <c r="F182" t="s">
        <v>331</v>
      </c>
      <c r="G182" t="s">
        <v>19</v>
      </c>
      <c r="H182" t="s">
        <v>769</v>
      </c>
    </row>
    <row r="183" spans="1:8" x14ac:dyDescent="0.2">
      <c r="A183" t="s">
        <v>429</v>
      </c>
      <c r="B183" t="s">
        <v>430</v>
      </c>
      <c r="C183" t="s">
        <v>4</v>
      </c>
      <c r="D183" t="s">
        <v>430</v>
      </c>
      <c r="F183" t="s">
        <v>331</v>
      </c>
      <c r="G183" t="s">
        <v>19</v>
      </c>
      <c r="H183" t="s">
        <v>770</v>
      </c>
    </row>
    <row r="184" spans="1:8" x14ac:dyDescent="0.2">
      <c r="A184" t="s">
        <v>431</v>
      </c>
      <c r="B184" t="s">
        <v>432</v>
      </c>
      <c r="C184" t="s">
        <v>4</v>
      </c>
      <c r="D184" t="s">
        <v>432</v>
      </c>
      <c r="F184" t="s">
        <v>331</v>
      </c>
      <c r="G184" t="s">
        <v>19</v>
      </c>
      <c r="H184" t="s">
        <v>771</v>
      </c>
    </row>
    <row r="185" spans="1:8" x14ac:dyDescent="0.2">
      <c r="A185" t="s">
        <v>433</v>
      </c>
      <c r="B185" t="s">
        <v>434</v>
      </c>
      <c r="C185" t="s">
        <v>4</v>
      </c>
      <c r="D185" t="s">
        <v>434</v>
      </c>
      <c r="F185" t="s">
        <v>331</v>
      </c>
      <c r="G185" t="s">
        <v>19</v>
      </c>
      <c r="H185" t="s">
        <v>772</v>
      </c>
    </row>
    <row r="186" spans="1:8" x14ac:dyDescent="0.2">
      <c r="A186" t="s">
        <v>276</v>
      </c>
      <c r="B186" t="s">
        <v>435</v>
      </c>
      <c r="C186" t="s">
        <v>4</v>
      </c>
      <c r="D186" t="s">
        <v>435</v>
      </c>
      <c r="F186" t="s">
        <v>331</v>
      </c>
      <c r="G186" t="s">
        <v>19</v>
      </c>
      <c r="H186" t="s">
        <v>773</v>
      </c>
    </row>
    <row r="187" spans="1:8" x14ac:dyDescent="0.2">
      <c r="A187" t="s">
        <v>437</v>
      </c>
      <c r="B187" t="s">
        <v>438</v>
      </c>
      <c r="C187" t="s">
        <v>4</v>
      </c>
      <c r="D187" t="s">
        <v>438</v>
      </c>
      <c r="F187" t="s">
        <v>333</v>
      </c>
      <c r="G187" t="s">
        <v>19</v>
      </c>
      <c r="H187" t="s">
        <v>775</v>
      </c>
    </row>
    <row r="188" spans="1:8" x14ac:dyDescent="0.2">
      <c r="A188" t="s">
        <v>439</v>
      </c>
      <c r="B188" t="s">
        <v>440</v>
      </c>
      <c r="C188" t="s">
        <v>4</v>
      </c>
      <c r="D188" t="s">
        <v>440</v>
      </c>
      <c r="F188" t="s">
        <v>331</v>
      </c>
      <c r="G188" t="s">
        <v>19</v>
      </c>
      <c r="H188" t="s">
        <v>776</v>
      </c>
    </row>
    <row r="189" spans="1:8" x14ac:dyDescent="0.2">
      <c r="A189" t="s">
        <v>441</v>
      </c>
      <c r="B189" t="s">
        <v>442</v>
      </c>
      <c r="C189" t="s">
        <v>4</v>
      </c>
      <c r="D189" t="s">
        <v>442</v>
      </c>
      <c r="G189" t="s">
        <v>19</v>
      </c>
      <c r="H189" t="s">
        <v>777</v>
      </c>
    </row>
    <row r="190" spans="1:8" x14ac:dyDescent="0.2">
      <c r="A190" t="s">
        <v>443</v>
      </c>
      <c r="B190" t="s">
        <v>444</v>
      </c>
      <c r="C190" t="s">
        <v>4</v>
      </c>
      <c r="D190" t="s">
        <v>444</v>
      </c>
      <c r="F190" t="s">
        <v>333</v>
      </c>
      <c r="G190" t="s">
        <v>19</v>
      </c>
      <c r="H190" t="s">
        <v>778</v>
      </c>
    </row>
    <row r="191" spans="1:8" x14ac:dyDescent="0.2">
      <c r="A191" t="s">
        <v>445</v>
      </c>
      <c r="B191" t="s">
        <v>446</v>
      </c>
      <c r="C191" t="s">
        <v>4</v>
      </c>
      <c r="D191" t="s">
        <v>446</v>
      </c>
      <c r="F191" t="s">
        <v>333</v>
      </c>
      <c r="G191" t="s">
        <v>19</v>
      </c>
      <c r="H191" t="s">
        <v>779</v>
      </c>
    </row>
    <row r="192" spans="1:8" x14ac:dyDescent="0.2">
      <c r="A192" t="s">
        <v>447</v>
      </c>
      <c r="B192" t="s">
        <v>448</v>
      </c>
      <c r="C192" t="s">
        <v>4</v>
      </c>
      <c r="D192" t="s">
        <v>448</v>
      </c>
      <c r="F192" t="s">
        <v>339</v>
      </c>
      <c r="G192" t="s">
        <v>19</v>
      </c>
      <c r="H192" t="s">
        <v>780</v>
      </c>
    </row>
    <row r="193" spans="1:8" x14ac:dyDescent="0.2">
      <c r="A193" t="s">
        <v>449</v>
      </c>
      <c r="B193" t="s">
        <v>450</v>
      </c>
      <c r="C193" t="s">
        <v>4</v>
      </c>
      <c r="D193" t="s">
        <v>450</v>
      </c>
      <c r="F193" t="s">
        <v>339</v>
      </c>
      <c r="G193" t="s">
        <v>19</v>
      </c>
      <c r="H193" t="s">
        <v>781</v>
      </c>
    </row>
    <row r="194" spans="1:8" x14ac:dyDescent="0.2">
      <c r="A194" t="s">
        <v>451</v>
      </c>
      <c r="B194" t="s">
        <v>452</v>
      </c>
      <c r="C194" t="s">
        <v>4</v>
      </c>
      <c r="D194" t="s">
        <v>452</v>
      </c>
      <c r="F194" t="s">
        <v>339</v>
      </c>
      <c r="G194" t="s">
        <v>19</v>
      </c>
      <c r="H194" t="s">
        <v>782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4302-D44F-4250-BAFC-3243EFEE9855}">
  <sheetPr codeName="Sheet25"/>
  <dimension ref="A1:J259"/>
  <sheetViews>
    <sheetView workbookViewId="0">
      <selection activeCell="F199" sqref="F199"/>
    </sheetView>
  </sheetViews>
  <sheetFormatPr defaultRowHeight="11.25" x14ac:dyDescent="0.2"/>
  <cols>
    <col min="1" max="1" width="12.83203125" customWidth="1"/>
    <col min="2" max="2" width="29" bestFit="1" customWidth="1"/>
    <col min="3" max="3" width="24.83203125" bestFit="1" customWidth="1"/>
    <col min="4" max="4" width="11.1640625" customWidth="1"/>
    <col min="5" max="5" width="10.6640625" customWidth="1"/>
    <col min="6" max="6" width="15" customWidth="1"/>
    <col min="7" max="7" width="14" customWidth="1"/>
    <col min="8" max="8" width="17" customWidth="1"/>
    <col min="9" max="9" width="11.6640625" customWidth="1"/>
    <col min="10" max="10" width="10.5" customWidth="1"/>
  </cols>
  <sheetData>
    <row r="1" spans="1:10" x14ac:dyDescent="0.2">
      <c r="A1" t="s">
        <v>494</v>
      </c>
      <c r="B1" t="s">
        <v>31</v>
      </c>
      <c r="C1" t="s">
        <v>495</v>
      </c>
      <c r="D1" t="s">
        <v>360</v>
      </c>
      <c r="E1" t="s">
        <v>496</v>
      </c>
      <c r="F1" t="s">
        <v>497</v>
      </c>
      <c r="G1" t="s">
        <v>498</v>
      </c>
      <c r="H1" t="s">
        <v>499</v>
      </c>
      <c r="I1" t="s">
        <v>500</v>
      </c>
      <c r="J1" t="s">
        <v>501</v>
      </c>
    </row>
    <row r="2" spans="1:10" x14ac:dyDescent="0.2">
      <c r="B2" t="s">
        <v>11</v>
      </c>
    </row>
    <row r="3" spans="1:10" x14ac:dyDescent="0.2">
      <c r="A3" t="s">
        <v>502</v>
      </c>
      <c r="B3" t="s">
        <v>34</v>
      </c>
      <c r="C3" t="s">
        <v>35</v>
      </c>
      <c r="D3" t="s">
        <v>17</v>
      </c>
    </row>
    <row r="4" spans="1:10" x14ac:dyDescent="0.2">
      <c r="B4" t="s">
        <v>36</v>
      </c>
      <c r="C4" t="s">
        <v>37</v>
      </c>
      <c r="D4" t="s">
        <v>17</v>
      </c>
    </row>
    <row r="5" spans="1:10" x14ac:dyDescent="0.2">
      <c r="B5" t="s">
        <v>38</v>
      </c>
      <c r="C5" t="s">
        <v>39</v>
      </c>
      <c r="D5" t="s">
        <v>17</v>
      </c>
    </row>
    <row r="6" spans="1:10" x14ac:dyDescent="0.2">
      <c r="B6" t="s">
        <v>40</v>
      </c>
      <c r="C6" t="s">
        <v>41</v>
      </c>
      <c r="D6" t="s">
        <v>17</v>
      </c>
    </row>
    <row r="7" spans="1:10" x14ac:dyDescent="0.2">
      <c r="B7" t="s">
        <v>42</v>
      </c>
      <c r="C7" t="s">
        <v>349</v>
      </c>
      <c r="D7" t="s">
        <v>17</v>
      </c>
    </row>
    <row r="8" spans="1:10" x14ac:dyDescent="0.2">
      <c r="B8" t="s">
        <v>43</v>
      </c>
      <c r="C8" t="s">
        <v>44</v>
      </c>
      <c r="D8" t="s">
        <v>17</v>
      </c>
    </row>
    <row r="9" spans="1:10" x14ac:dyDescent="0.2">
      <c r="B9" t="s">
        <v>45</v>
      </c>
      <c r="C9" t="s">
        <v>352</v>
      </c>
      <c r="D9" t="s">
        <v>17</v>
      </c>
    </row>
    <row r="10" spans="1:10" x14ac:dyDescent="0.2">
      <c r="B10" t="s">
        <v>46</v>
      </c>
      <c r="C10" t="s">
        <v>47</v>
      </c>
      <c r="D10" t="s">
        <v>17</v>
      </c>
    </row>
    <row r="11" spans="1:10" x14ac:dyDescent="0.2">
      <c r="B11" t="s">
        <v>48</v>
      </c>
      <c r="C11" t="s">
        <v>49</v>
      </c>
      <c r="D11" t="s">
        <v>17</v>
      </c>
    </row>
    <row r="12" spans="1:10" x14ac:dyDescent="0.2">
      <c r="B12" t="s">
        <v>50</v>
      </c>
      <c r="C12" t="s">
        <v>51</v>
      </c>
      <c r="D12" t="s">
        <v>16</v>
      </c>
    </row>
    <row r="13" spans="1:10" x14ac:dyDescent="0.2">
      <c r="B13" t="s">
        <v>52</v>
      </c>
      <c r="C13" t="s">
        <v>53</v>
      </c>
      <c r="D13" t="s">
        <v>16</v>
      </c>
    </row>
    <row r="14" spans="1:10" x14ac:dyDescent="0.2">
      <c r="B14" t="s">
        <v>54</v>
      </c>
      <c r="C14" t="s">
        <v>55</v>
      </c>
      <c r="D14" t="s">
        <v>16</v>
      </c>
    </row>
    <row r="15" spans="1:10" x14ac:dyDescent="0.2">
      <c r="B15" t="s">
        <v>12</v>
      </c>
    </row>
    <row r="16" spans="1:10" x14ac:dyDescent="0.2">
      <c r="A16" t="s">
        <v>391</v>
      </c>
      <c r="B16" t="s">
        <v>56</v>
      </c>
      <c r="C16" t="s">
        <v>57</v>
      </c>
      <c r="D16" t="s">
        <v>17</v>
      </c>
    </row>
    <row r="17" spans="2:10" x14ac:dyDescent="0.2">
      <c r="B17" t="s">
        <v>58</v>
      </c>
      <c r="C17" t="s">
        <v>377</v>
      </c>
      <c r="D17" t="s">
        <v>17</v>
      </c>
    </row>
    <row r="18" spans="2:10" x14ac:dyDescent="0.2">
      <c r="B18" t="s">
        <v>59</v>
      </c>
      <c r="C18" t="s">
        <v>378</v>
      </c>
      <c r="D18" t="s">
        <v>17</v>
      </c>
    </row>
    <row r="19" spans="2:10" x14ac:dyDescent="0.2">
      <c r="B19" t="s">
        <v>60</v>
      </c>
      <c r="C19" t="s">
        <v>379</v>
      </c>
      <c r="D19" t="s">
        <v>17</v>
      </c>
    </row>
    <row r="20" spans="2:10" x14ac:dyDescent="0.2">
      <c r="B20" t="s">
        <v>61</v>
      </c>
      <c r="C20" t="s">
        <v>380</v>
      </c>
      <c r="D20" t="s">
        <v>17</v>
      </c>
    </row>
    <row r="21" spans="2:10" x14ac:dyDescent="0.2">
      <c r="B21" t="s">
        <v>62</v>
      </c>
      <c r="C21" t="s">
        <v>381</v>
      </c>
      <c r="D21" t="s">
        <v>17</v>
      </c>
    </row>
    <row r="22" spans="2:10" x14ac:dyDescent="0.2">
      <c r="B22" t="s">
        <v>63</v>
      </c>
      <c r="C22" t="s">
        <v>64</v>
      </c>
      <c r="D22" t="s">
        <v>17</v>
      </c>
    </row>
    <row r="23" spans="2:10" x14ac:dyDescent="0.2">
      <c r="B23" t="s">
        <v>65</v>
      </c>
      <c r="C23" t="s">
        <v>66</v>
      </c>
      <c r="D23" t="s">
        <v>17</v>
      </c>
    </row>
    <row r="24" spans="2:10" x14ac:dyDescent="0.2">
      <c r="B24" t="s">
        <v>67</v>
      </c>
      <c r="C24" t="s">
        <v>68</v>
      </c>
      <c r="D24" t="s">
        <v>18</v>
      </c>
      <c r="J24" t="s">
        <v>503</v>
      </c>
    </row>
    <row r="25" spans="2:10" x14ac:dyDescent="0.2">
      <c r="B25" t="s">
        <v>69</v>
      </c>
      <c r="C25" t="s">
        <v>70</v>
      </c>
      <c r="D25" t="s">
        <v>18</v>
      </c>
      <c r="J25" t="s">
        <v>503</v>
      </c>
    </row>
    <row r="26" spans="2:10" x14ac:dyDescent="0.2">
      <c r="B26" t="s">
        <v>71</v>
      </c>
      <c r="C26" t="s">
        <v>382</v>
      </c>
      <c r="D26" t="s">
        <v>18</v>
      </c>
      <c r="J26" t="s">
        <v>503</v>
      </c>
    </row>
    <row r="27" spans="2:10" x14ac:dyDescent="0.2">
      <c r="B27" t="s">
        <v>72</v>
      </c>
      <c r="C27" t="s">
        <v>73</v>
      </c>
      <c r="D27" t="s">
        <v>18</v>
      </c>
      <c r="J27" t="s">
        <v>503</v>
      </c>
    </row>
    <row r="28" spans="2:10" x14ac:dyDescent="0.2">
      <c r="B28" t="s">
        <v>74</v>
      </c>
      <c r="C28" t="s">
        <v>75</v>
      </c>
      <c r="D28" t="s">
        <v>18</v>
      </c>
      <c r="J28" t="s">
        <v>503</v>
      </c>
    </row>
    <row r="29" spans="2:10" x14ac:dyDescent="0.2">
      <c r="B29" t="s">
        <v>76</v>
      </c>
      <c r="C29" t="s">
        <v>77</v>
      </c>
      <c r="D29" t="s">
        <v>16</v>
      </c>
    </row>
    <row r="30" spans="2:10" x14ac:dyDescent="0.2">
      <c r="B30" t="s">
        <v>78</v>
      </c>
      <c r="C30" t="s">
        <v>383</v>
      </c>
      <c r="D30" t="s">
        <v>16</v>
      </c>
    </row>
    <row r="31" spans="2:10" x14ac:dyDescent="0.2">
      <c r="B31" t="s">
        <v>79</v>
      </c>
      <c r="C31" t="s">
        <v>384</v>
      </c>
      <c r="D31" t="s">
        <v>16</v>
      </c>
    </row>
    <row r="32" spans="2:10" x14ac:dyDescent="0.2">
      <c r="B32" t="s">
        <v>80</v>
      </c>
      <c r="C32" t="s">
        <v>385</v>
      </c>
      <c r="D32" t="s">
        <v>16</v>
      </c>
    </row>
    <row r="33" spans="1:9" x14ac:dyDescent="0.2">
      <c r="B33" t="s">
        <v>81</v>
      </c>
      <c r="C33" t="s">
        <v>366</v>
      </c>
      <c r="D33" t="s">
        <v>16</v>
      </c>
    </row>
    <row r="34" spans="1:9" x14ac:dyDescent="0.2">
      <c r="B34" t="s">
        <v>82</v>
      </c>
      <c r="C34" t="s">
        <v>367</v>
      </c>
      <c r="D34" t="s">
        <v>16</v>
      </c>
    </row>
    <row r="35" spans="1:9" x14ac:dyDescent="0.2">
      <c r="B35" t="s">
        <v>9</v>
      </c>
    </row>
    <row r="36" spans="1:9" x14ac:dyDescent="0.2">
      <c r="A36" t="s">
        <v>504</v>
      </c>
      <c r="B36" t="s">
        <v>83</v>
      </c>
      <c r="C36" t="s">
        <v>84</v>
      </c>
      <c r="D36" t="s">
        <v>17</v>
      </c>
    </row>
    <row r="37" spans="1:9" x14ac:dyDescent="0.2">
      <c r="B37" t="s">
        <v>85</v>
      </c>
      <c r="C37" t="s">
        <v>86</v>
      </c>
      <c r="D37" t="s">
        <v>17</v>
      </c>
    </row>
    <row r="38" spans="1:9" x14ac:dyDescent="0.2">
      <c r="B38" t="s">
        <v>87</v>
      </c>
      <c r="C38" t="s">
        <v>88</v>
      </c>
      <c r="D38" t="s">
        <v>17</v>
      </c>
    </row>
    <row r="39" spans="1:9" x14ac:dyDescent="0.2">
      <c r="B39" t="s">
        <v>89</v>
      </c>
      <c r="C39" t="s">
        <v>386</v>
      </c>
      <c r="D39" t="s">
        <v>17</v>
      </c>
      <c r="I39" t="s">
        <v>505</v>
      </c>
    </row>
    <row r="40" spans="1:9" x14ac:dyDescent="0.2">
      <c r="B40" t="s">
        <v>90</v>
      </c>
      <c r="C40" t="s">
        <v>387</v>
      </c>
      <c r="D40" t="s">
        <v>17</v>
      </c>
      <c r="I40" t="s">
        <v>505</v>
      </c>
    </row>
    <row r="41" spans="1:9" x14ac:dyDescent="0.2">
      <c r="B41" t="s">
        <v>91</v>
      </c>
      <c r="C41" t="s">
        <v>92</v>
      </c>
      <c r="D41" t="s">
        <v>17</v>
      </c>
    </row>
    <row r="42" spans="1:9" x14ac:dyDescent="0.2">
      <c r="B42" t="s">
        <v>93</v>
      </c>
      <c r="C42" t="s">
        <v>94</v>
      </c>
      <c r="D42" t="s">
        <v>17</v>
      </c>
    </row>
    <row r="43" spans="1:9" x14ac:dyDescent="0.2">
      <c r="B43" t="s">
        <v>95</v>
      </c>
      <c r="C43" t="s">
        <v>96</v>
      </c>
      <c r="D43" t="s">
        <v>17</v>
      </c>
    </row>
    <row r="44" spans="1:9" x14ac:dyDescent="0.2">
      <c r="B44" t="s">
        <v>97</v>
      </c>
      <c r="C44" t="s">
        <v>98</v>
      </c>
      <c r="D44" t="s">
        <v>17</v>
      </c>
    </row>
    <row r="45" spans="1:9" x14ac:dyDescent="0.2">
      <c r="B45" t="s">
        <v>99</v>
      </c>
      <c r="C45" t="s">
        <v>388</v>
      </c>
      <c r="D45" t="s">
        <v>17</v>
      </c>
    </row>
    <row r="46" spans="1:9" x14ac:dyDescent="0.2">
      <c r="B46" t="s">
        <v>100</v>
      </c>
      <c r="C46" t="s">
        <v>101</v>
      </c>
      <c r="D46" t="s">
        <v>18</v>
      </c>
    </row>
    <row r="47" spans="1:9" x14ac:dyDescent="0.2">
      <c r="B47" t="s">
        <v>102</v>
      </c>
      <c r="C47" t="s">
        <v>103</v>
      </c>
      <c r="D47" t="s">
        <v>16</v>
      </c>
    </row>
    <row r="48" spans="1:9" x14ac:dyDescent="0.2">
      <c r="B48" t="s">
        <v>104</v>
      </c>
      <c r="C48" t="s">
        <v>105</v>
      </c>
      <c r="D48" t="s">
        <v>16</v>
      </c>
    </row>
    <row r="49" spans="1:6" x14ac:dyDescent="0.2">
      <c r="B49" t="s">
        <v>106</v>
      </c>
      <c r="C49" t="s">
        <v>107</v>
      </c>
      <c r="D49" t="s">
        <v>16</v>
      </c>
    </row>
    <row r="50" spans="1:6" x14ac:dyDescent="0.2">
      <c r="B50" t="s">
        <v>6</v>
      </c>
    </row>
    <row r="51" spans="1:6" x14ac:dyDescent="0.2">
      <c r="A51" t="s">
        <v>506</v>
      </c>
      <c r="B51" t="s">
        <v>108</v>
      </c>
      <c r="C51" t="s">
        <v>109</v>
      </c>
      <c r="D51" t="s">
        <v>17</v>
      </c>
      <c r="E51" t="s">
        <v>372</v>
      </c>
      <c r="F51" t="s">
        <v>375</v>
      </c>
    </row>
    <row r="52" spans="1:6" x14ac:dyDescent="0.2">
      <c r="B52" t="s">
        <v>110</v>
      </c>
      <c r="C52" t="s">
        <v>111</v>
      </c>
      <c r="D52" t="s">
        <v>17</v>
      </c>
      <c r="E52" t="s">
        <v>373</v>
      </c>
      <c r="F52" t="s">
        <v>376</v>
      </c>
    </row>
    <row r="53" spans="1:6" x14ac:dyDescent="0.2">
      <c r="B53" t="s">
        <v>112</v>
      </c>
      <c r="C53" t="s">
        <v>113</v>
      </c>
      <c r="D53" t="s">
        <v>17</v>
      </c>
      <c r="E53" t="s">
        <v>373</v>
      </c>
      <c r="F53" t="s">
        <v>375</v>
      </c>
    </row>
    <row r="54" spans="1:6" x14ac:dyDescent="0.2">
      <c r="B54" t="s">
        <v>114</v>
      </c>
      <c r="C54" t="s">
        <v>115</v>
      </c>
      <c r="D54" t="s">
        <v>17</v>
      </c>
      <c r="E54" t="s">
        <v>372</v>
      </c>
      <c r="F54" t="s">
        <v>376</v>
      </c>
    </row>
    <row r="55" spans="1:6" x14ac:dyDescent="0.2">
      <c r="B55" t="s">
        <v>116</v>
      </c>
      <c r="C55" t="s">
        <v>117</v>
      </c>
      <c r="D55" t="s">
        <v>17</v>
      </c>
      <c r="E55" t="s">
        <v>372</v>
      </c>
      <c r="F55" t="s">
        <v>376</v>
      </c>
    </row>
    <row r="56" spans="1:6" x14ac:dyDescent="0.2">
      <c r="B56" t="s">
        <v>118</v>
      </c>
      <c r="C56" t="s">
        <v>119</v>
      </c>
      <c r="D56" t="s">
        <v>17</v>
      </c>
      <c r="E56" t="s">
        <v>372</v>
      </c>
      <c r="F56" t="s">
        <v>376</v>
      </c>
    </row>
    <row r="57" spans="1:6" x14ac:dyDescent="0.2">
      <c r="B57" t="s">
        <v>120</v>
      </c>
      <c r="C57" t="s">
        <v>121</v>
      </c>
      <c r="D57" t="s">
        <v>17</v>
      </c>
      <c r="E57" t="s">
        <v>372</v>
      </c>
      <c r="F57" t="s">
        <v>376</v>
      </c>
    </row>
    <row r="58" spans="1:6" x14ac:dyDescent="0.2">
      <c r="B58" t="s">
        <v>122</v>
      </c>
      <c r="C58" t="s">
        <v>123</v>
      </c>
      <c r="D58" t="s">
        <v>17</v>
      </c>
      <c r="E58" t="s">
        <v>372</v>
      </c>
      <c r="F58" t="s">
        <v>376</v>
      </c>
    </row>
    <row r="59" spans="1:6" x14ac:dyDescent="0.2">
      <c r="B59" t="s">
        <v>124</v>
      </c>
      <c r="C59" t="s">
        <v>125</v>
      </c>
      <c r="D59" t="s">
        <v>17</v>
      </c>
      <c r="E59" t="s">
        <v>373</v>
      </c>
      <c r="F59" t="s">
        <v>375</v>
      </c>
    </row>
    <row r="60" spans="1:6" x14ac:dyDescent="0.2">
      <c r="B60" t="s">
        <v>126</v>
      </c>
      <c r="C60" t="s">
        <v>127</v>
      </c>
      <c r="D60" t="s">
        <v>17</v>
      </c>
      <c r="E60" t="s">
        <v>372</v>
      </c>
      <c r="F60" t="s">
        <v>376</v>
      </c>
    </row>
    <row r="61" spans="1:6" x14ac:dyDescent="0.2">
      <c r="B61" t="s">
        <v>128</v>
      </c>
      <c r="C61" t="s">
        <v>129</v>
      </c>
      <c r="D61" t="s">
        <v>17</v>
      </c>
      <c r="E61" t="s">
        <v>372</v>
      </c>
      <c r="F61" t="s">
        <v>375</v>
      </c>
    </row>
    <row r="62" spans="1:6" x14ac:dyDescent="0.2">
      <c r="B62" t="s">
        <v>5</v>
      </c>
    </row>
    <row r="63" spans="1:6" x14ac:dyDescent="0.2">
      <c r="A63" t="s">
        <v>508</v>
      </c>
      <c r="B63" t="s">
        <v>130</v>
      </c>
      <c r="C63" t="s">
        <v>389</v>
      </c>
      <c r="D63" t="s">
        <v>17</v>
      </c>
    </row>
    <row r="64" spans="1:6" x14ac:dyDescent="0.2">
      <c r="B64" t="s">
        <v>131</v>
      </c>
      <c r="C64" t="s">
        <v>125</v>
      </c>
      <c r="D64" t="s">
        <v>17</v>
      </c>
    </row>
    <row r="65" spans="1:8" x14ac:dyDescent="0.2">
      <c r="B65" t="s">
        <v>27</v>
      </c>
    </row>
    <row r="66" spans="1:8" x14ac:dyDescent="0.2">
      <c r="A66" t="s">
        <v>509</v>
      </c>
      <c r="B66" t="s">
        <v>132</v>
      </c>
      <c r="C66" t="s">
        <v>390</v>
      </c>
      <c r="D66" t="s">
        <v>17</v>
      </c>
      <c r="H66" t="s">
        <v>132</v>
      </c>
    </row>
    <row r="67" spans="1:8" x14ac:dyDescent="0.2">
      <c r="B67" t="s">
        <v>133</v>
      </c>
      <c r="C67" t="s">
        <v>134</v>
      </c>
      <c r="D67" t="s">
        <v>17</v>
      </c>
      <c r="H67" t="s">
        <v>510</v>
      </c>
    </row>
    <row r="68" spans="1:8" x14ac:dyDescent="0.2">
      <c r="B68" t="s">
        <v>135</v>
      </c>
      <c r="C68" t="s">
        <v>136</v>
      </c>
      <c r="D68" t="s">
        <v>17</v>
      </c>
      <c r="H68" t="s">
        <v>510</v>
      </c>
    </row>
    <row r="69" spans="1:8" x14ac:dyDescent="0.2">
      <c r="B69" t="s">
        <v>137</v>
      </c>
      <c r="C69" t="s">
        <v>138</v>
      </c>
      <c r="D69" t="s">
        <v>17</v>
      </c>
      <c r="H69" t="s">
        <v>510</v>
      </c>
    </row>
    <row r="70" spans="1:8" x14ac:dyDescent="0.2">
      <c r="B70" t="s">
        <v>139</v>
      </c>
      <c r="C70" t="s">
        <v>140</v>
      </c>
      <c r="D70" t="s">
        <v>17</v>
      </c>
      <c r="H70" t="s">
        <v>510</v>
      </c>
    </row>
    <row r="71" spans="1:8" x14ac:dyDescent="0.2">
      <c r="B71" t="s">
        <v>141</v>
      </c>
      <c r="C71" t="s">
        <v>142</v>
      </c>
      <c r="D71" t="s">
        <v>17</v>
      </c>
      <c r="H71" t="s">
        <v>510</v>
      </c>
    </row>
    <row r="72" spans="1:8" x14ac:dyDescent="0.2">
      <c r="B72" t="s">
        <v>143</v>
      </c>
      <c r="C72" t="s">
        <v>391</v>
      </c>
      <c r="D72" t="s">
        <v>17</v>
      </c>
      <c r="H72" t="s">
        <v>510</v>
      </c>
    </row>
    <row r="73" spans="1:8" x14ac:dyDescent="0.2">
      <c r="B73" t="s">
        <v>144</v>
      </c>
      <c r="C73" t="s">
        <v>388</v>
      </c>
      <c r="D73" t="s">
        <v>17</v>
      </c>
      <c r="H73" t="s">
        <v>510</v>
      </c>
    </row>
    <row r="74" spans="1:8" x14ac:dyDescent="0.2">
      <c r="B74" t="s">
        <v>145</v>
      </c>
      <c r="C74" t="s">
        <v>146</v>
      </c>
      <c r="D74" t="s">
        <v>17</v>
      </c>
      <c r="H74" t="s">
        <v>510</v>
      </c>
    </row>
    <row r="75" spans="1:8" x14ac:dyDescent="0.2">
      <c r="B75" t="s">
        <v>147</v>
      </c>
      <c r="C75" t="s">
        <v>64</v>
      </c>
      <c r="D75" t="s">
        <v>17</v>
      </c>
    </row>
    <row r="76" spans="1:8" x14ac:dyDescent="0.2">
      <c r="B76" t="s">
        <v>28</v>
      </c>
    </row>
    <row r="77" spans="1:8" x14ac:dyDescent="0.2">
      <c r="A77" t="s">
        <v>511</v>
      </c>
      <c r="B77" t="s">
        <v>148</v>
      </c>
      <c r="C77" t="s">
        <v>392</v>
      </c>
      <c r="D77" t="s">
        <v>17</v>
      </c>
      <c r="H77" t="s">
        <v>148</v>
      </c>
    </row>
    <row r="78" spans="1:8" x14ac:dyDescent="0.2">
      <c r="B78" t="s">
        <v>149</v>
      </c>
      <c r="C78" t="s">
        <v>134</v>
      </c>
      <c r="D78" t="s">
        <v>17</v>
      </c>
      <c r="H78" t="s">
        <v>512</v>
      </c>
    </row>
    <row r="79" spans="1:8" x14ac:dyDescent="0.2">
      <c r="B79" t="s">
        <v>150</v>
      </c>
      <c r="C79" t="s">
        <v>136</v>
      </c>
      <c r="D79" t="s">
        <v>17</v>
      </c>
      <c r="H79" t="s">
        <v>512</v>
      </c>
    </row>
    <row r="80" spans="1:8" x14ac:dyDescent="0.2">
      <c r="B80" t="s">
        <v>151</v>
      </c>
      <c r="C80" t="s">
        <v>138</v>
      </c>
      <c r="D80" t="s">
        <v>17</v>
      </c>
      <c r="H80" t="s">
        <v>512</v>
      </c>
    </row>
    <row r="81" spans="1:9" x14ac:dyDescent="0.2">
      <c r="B81" t="s">
        <v>152</v>
      </c>
      <c r="C81" t="s">
        <v>140</v>
      </c>
      <c r="D81" t="s">
        <v>17</v>
      </c>
      <c r="H81" t="s">
        <v>512</v>
      </c>
    </row>
    <row r="82" spans="1:9" x14ac:dyDescent="0.2">
      <c r="B82" t="s">
        <v>153</v>
      </c>
      <c r="C82" t="s">
        <v>142</v>
      </c>
      <c r="D82" t="s">
        <v>17</v>
      </c>
      <c r="H82" t="s">
        <v>512</v>
      </c>
    </row>
    <row r="83" spans="1:9" x14ac:dyDescent="0.2">
      <c r="B83" t="s">
        <v>154</v>
      </c>
      <c r="C83" t="s">
        <v>391</v>
      </c>
      <c r="D83" t="s">
        <v>17</v>
      </c>
      <c r="H83" t="s">
        <v>512</v>
      </c>
    </row>
    <row r="84" spans="1:9" x14ac:dyDescent="0.2">
      <c r="B84" t="s">
        <v>155</v>
      </c>
      <c r="C84" t="s">
        <v>388</v>
      </c>
      <c r="D84" t="s">
        <v>17</v>
      </c>
      <c r="H84" t="s">
        <v>512</v>
      </c>
    </row>
    <row r="85" spans="1:9" x14ac:dyDescent="0.2">
      <c r="B85" t="s">
        <v>156</v>
      </c>
      <c r="C85" t="s">
        <v>146</v>
      </c>
      <c r="D85" t="s">
        <v>17</v>
      </c>
      <c r="H85" t="s">
        <v>512</v>
      </c>
    </row>
    <row r="86" spans="1:9" x14ac:dyDescent="0.2">
      <c r="B86" t="s">
        <v>157</v>
      </c>
      <c r="C86" t="s">
        <v>64</v>
      </c>
      <c r="D86" t="s">
        <v>17</v>
      </c>
    </row>
    <row r="87" spans="1:9" x14ac:dyDescent="0.2">
      <c r="B87" t="s">
        <v>158</v>
      </c>
      <c r="C87" t="s">
        <v>159</v>
      </c>
      <c r="D87" t="s">
        <v>17</v>
      </c>
      <c r="H87" t="s">
        <v>513</v>
      </c>
      <c r="I87" t="s">
        <v>514</v>
      </c>
    </row>
    <row r="88" spans="1:9" x14ac:dyDescent="0.2">
      <c r="B88" t="s">
        <v>160</v>
      </c>
      <c r="C88" t="s">
        <v>161</v>
      </c>
      <c r="D88" t="s">
        <v>17</v>
      </c>
      <c r="H88" t="s">
        <v>515</v>
      </c>
      <c r="I88" t="s">
        <v>516</v>
      </c>
    </row>
    <row r="89" spans="1:9" x14ac:dyDescent="0.2">
      <c r="B89" t="s">
        <v>162</v>
      </c>
      <c r="C89" t="s">
        <v>163</v>
      </c>
      <c r="D89" t="s">
        <v>16</v>
      </c>
    </row>
    <row r="90" spans="1:9" x14ac:dyDescent="0.2">
      <c r="B90" t="s">
        <v>29</v>
      </c>
    </row>
    <row r="91" spans="1:9" x14ac:dyDescent="0.2">
      <c r="A91" t="s">
        <v>517</v>
      </c>
      <c r="B91" t="s">
        <v>164</v>
      </c>
      <c r="C91" t="s">
        <v>392</v>
      </c>
      <c r="D91" t="s">
        <v>17</v>
      </c>
      <c r="H91" t="s">
        <v>164</v>
      </c>
    </row>
    <row r="92" spans="1:9" x14ac:dyDescent="0.2">
      <c r="B92" t="s">
        <v>165</v>
      </c>
      <c r="C92" t="s">
        <v>134</v>
      </c>
      <c r="D92" t="s">
        <v>17</v>
      </c>
      <c r="H92" t="s">
        <v>518</v>
      </c>
    </row>
    <row r="93" spans="1:9" x14ac:dyDescent="0.2">
      <c r="B93" t="s">
        <v>166</v>
      </c>
      <c r="C93" t="s">
        <v>136</v>
      </c>
      <c r="D93" t="s">
        <v>17</v>
      </c>
      <c r="H93" t="s">
        <v>518</v>
      </c>
    </row>
    <row r="94" spans="1:9" x14ac:dyDescent="0.2">
      <c r="B94" t="s">
        <v>167</v>
      </c>
      <c r="C94" t="s">
        <v>138</v>
      </c>
      <c r="D94" t="s">
        <v>17</v>
      </c>
      <c r="H94" t="s">
        <v>518</v>
      </c>
    </row>
    <row r="95" spans="1:9" x14ac:dyDescent="0.2">
      <c r="B95" t="s">
        <v>168</v>
      </c>
      <c r="C95" t="s">
        <v>142</v>
      </c>
      <c r="D95" t="s">
        <v>17</v>
      </c>
      <c r="H95" t="s">
        <v>518</v>
      </c>
    </row>
    <row r="96" spans="1:9" x14ac:dyDescent="0.2">
      <c r="B96" t="s">
        <v>169</v>
      </c>
      <c r="C96" t="s">
        <v>391</v>
      </c>
      <c r="D96" t="s">
        <v>17</v>
      </c>
      <c r="H96" t="s">
        <v>518</v>
      </c>
    </row>
    <row r="97" spans="1:9" x14ac:dyDescent="0.2">
      <c r="B97" t="s">
        <v>170</v>
      </c>
      <c r="C97" t="s">
        <v>388</v>
      </c>
      <c r="D97" t="s">
        <v>17</v>
      </c>
      <c r="H97" t="s">
        <v>518</v>
      </c>
    </row>
    <row r="98" spans="1:9" x14ac:dyDescent="0.2">
      <c r="B98" t="s">
        <v>171</v>
      </c>
      <c r="C98" t="s">
        <v>146</v>
      </c>
      <c r="D98" t="s">
        <v>17</v>
      </c>
      <c r="H98" t="s">
        <v>518</v>
      </c>
    </row>
    <row r="99" spans="1:9" x14ac:dyDescent="0.2">
      <c r="B99" t="s">
        <v>172</v>
      </c>
      <c r="C99" t="s">
        <v>64</v>
      </c>
      <c r="D99" t="s">
        <v>17</v>
      </c>
    </row>
    <row r="100" spans="1:9" x14ac:dyDescent="0.2">
      <c r="B100" t="s">
        <v>173</v>
      </c>
      <c r="C100" t="s">
        <v>159</v>
      </c>
      <c r="D100" t="s">
        <v>17</v>
      </c>
      <c r="H100" t="s">
        <v>513</v>
      </c>
      <c r="I100" t="s">
        <v>519</v>
      </c>
    </row>
    <row r="101" spans="1:9" x14ac:dyDescent="0.2">
      <c r="B101" t="s">
        <v>174</v>
      </c>
      <c r="C101" t="s">
        <v>161</v>
      </c>
      <c r="D101" t="s">
        <v>17</v>
      </c>
      <c r="H101" t="s">
        <v>515</v>
      </c>
      <c r="I101" t="s">
        <v>520</v>
      </c>
    </row>
    <row r="102" spans="1:9" x14ac:dyDescent="0.2">
      <c r="B102" t="s">
        <v>175</v>
      </c>
      <c r="C102" t="s">
        <v>163</v>
      </c>
      <c r="D102" t="s">
        <v>16</v>
      </c>
    </row>
    <row r="103" spans="1:9" x14ac:dyDescent="0.2">
      <c r="B103" t="s">
        <v>13</v>
      </c>
    </row>
    <row r="104" spans="1:9" x14ac:dyDescent="0.2">
      <c r="A104" t="s">
        <v>521</v>
      </c>
      <c r="B104" t="s">
        <v>176</v>
      </c>
      <c r="C104" t="s">
        <v>177</v>
      </c>
      <c r="D104" t="s">
        <v>17</v>
      </c>
    </row>
    <row r="105" spans="1:9" x14ac:dyDescent="0.2">
      <c r="B105" t="s">
        <v>178</v>
      </c>
      <c r="C105" t="s">
        <v>179</v>
      </c>
      <c r="D105" t="s">
        <v>17</v>
      </c>
    </row>
    <row r="106" spans="1:9" x14ac:dyDescent="0.2">
      <c r="B106" t="s">
        <v>180</v>
      </c>
      <c r="C106" t="s">
        <v>181</v>
      </c>
      <c r="D106" t="s">
        <v>17</v>
      </c>
    </row>
    <row r="107" spans="1:9" x14ac:dyDescent="0.2">
      <c r="B107" t="s">
        <v>182</v>
      </c>
      <c r="C107" t="s">
        <v>183</v>
      </c>
      <c r="D107" t="s">
        <v>17</v>
      </c>
    </row>
    <row r="108" spans="1:9" x14ac:dyDescent="0.2">
      <c r="B108" t="s">
        <v>184</v>
      </c>
      <c r="C108" t="s">
        <v>185</v>
      </c>
      <c r="D108" t="s">
        <v>17</v>
      </c>
    </row>
    <row r="109" spans="1:9" x14ac:dyDescent="0.2">
      <c r="B109" t="s">
        <v>186</v>
      </c>
      <c r="C109" t="s">
        <v>187</v>
      </c>
      <c r="D109" t="s">
        <v>17</v>
      </c>
    </row>
    <row r="110" spans="1:9" x14ac:dyDescent="0.2">
      <c r="B110" t="s">
        <v>188</v>
      </c>
      <c r="C110" t="s">
        <v>189</v>
      </c>
      <c r="D110" t="s">
        <v>17</v>
      </c>
    </row>
    <row r="111" spans="1:9" x14ac:dyDescent="0.2">
      <c r="B111" t="s">
        <v>190</v>
      </c>
      <c r="C111" t="s">
        <v>191</v>
      </c>
      <c r="D111" t="s">
        <v>17</v>
      </c>
    </row>
    <row r="112" spans="1:9" x14ac:dyDescent="0.2">
      <c r="B112" t="s">
        <v>192</v>
      </c>
      <c r="C112" t="s">
        <v>393</v>
      </c>
      <c r="D112" t="s">
        <v>17</v>
      </c>
    </row>
    <row r="113" spans="1:4" x14ac:dyDescent="0.2">
      <c r="B113" t="s">
        <v>10</v>
      </c>
    </row>
    <row r="114" spans="1:4" x14ac:dyDescent="0.2">
      <c r="A114" t="s">
        <v>522</v>
      </c>
      <c r="B114" t="s">
        <v>193</v>
      </c>
      <c r="C114" t="s">
        <v>194</v>
      </c>
      <c r="D114" t="s">
        <v>17</v>
      </c>
    </row>
    <row r="115" spans="1:4" x14ac:dyDescent="0.2">
      <c r="B115" t="s">
        <v>195</v>
      </c>
      <c r="C115" t="s">
        <v>196</v>
      </c>
      <c r="D115" t="s">
        <v>17</v>
      </c>
    </row>
    <row r="116" spans="1:4" x14ac:dyDescent="0.2">
      <c r="B116" t="s">
        <v>197</v>
      </c>
      <c r="C116" t="s">
        <v>198</v>
      </c>
      <c r="D116" t="s">
        <v>17</v>
      </c>
    </row>
    <row r="117" spans="1:4" x14ac:dyDescent="0.2">
      <c r="B117" t="s">
        <v>199</v>
      </c>
      <c r="C117" t="s">
        <v>200</v>
      </c>
      <c r="D117" t="s">
        <v>17</v>
      </c>
    </row>
    <row r="118" spans="1:4" x14ac:dyDescent="0.2">
      <c r="B118" t="s">
        <v>201</v>
      </c>
      <c r="C118" t="s">
        <v>202</v>
      </c>
      <c r="D118" t="s">
        <v>17</v>
      </c>
    </row>
    <row r="119" spans="1:4" x14ac:dyDescent="0.2">
      <c r="B119" t="s">
        <v>203</v>
      </c>
      <c r="C119" t="s">
        <v>204</v>
      </c>
      <c r="D119" t="s">
        <v>17</v>
      </c>
    </row>
    <row r="120" spans="1:4" x14ac:dyDescent="0.2">
      <c r="B120" t="s">
        <v>205</v>
      </c>
      <c r="C120" t="s">
        <v>206</v>
      </c>
      <c r="D120" t="s">
        <v>17</v>
      </c>
    </row>
    <row r="121" spans="1:4" x14ac:dyDescent="0.2">
      <c r="B121" t="s">
        <v>207</v>
      </c>
      <c r="C121" t="s">
        <v>208</v>
      </c>
      <c r="D121" t="s">
        <v>17</v>
      </c>
    </row>
    <row r="122" spans="1:4" x14ac:dyDescent="0.2">
      <c r="B122" t="s">
        <v>209</v>
      </c>
      <c r="C122" t="s">
        <v>210</v>
      </c>
      <c r="D122" t="s">
        <v>17</v>
      </c>
    </row>
    <row r="123" spans="1:4" x14ac:dyDescent="0.2">
      <c r="B123" t="s">
        <v>211</v>
      </c>
      <c r="C123" t="s">
        <v>212</v>
      </c>
      <c r="D123" t="s">
        <v>17</v>
      </c>
    </row>
    <row r="124" spans="1:4" x14ac:dyDescent="0.2">
      <c r="B124" t="s">
        <v>213</v>
      </c>
      <c r="C124" t="s">
        <v>214</v>
      </c>
      <c r="D124" t="s">
        <v>17</v>
      </c>
    </row>
    <row r="125" spans="1:4" x14ac:dyDescent="0.2">
      <c r="B125" t="s">
        <v>215</v>
      </c>
      <c r="C125" t="s">
        <v>216</v>
      </c>
      <c r="D125" t="s">
        <v>17</v>
      </c>
    </row>
    <row r="126" spans="1:4" x14ac:dyDescent="0.2">
      <c r="B126" t="s">
        <v>217</v>
      </c>
      <c r="C126" t="s">
        <v>218</v>
      </c>
      <c r="D126" t="s">
        <v>17</v>
      </c>
    </row>
    <row r="127" spans="1:4" x14ac:dyDescent="0.2">
      <c r="B127" t="s">
        <v>219</v>
      </c>
      <c r="C127" t="s">
        <v>220</v>
      </c>
      <c r="D127" t="s">
        <v>17</v>
      </c>
    </row>
    <row r="128" spans="1:4" x14ac:dyDescent="0.2">
      <c r="B128" t="s">
        <v>221</v>
      </c>
      <c r="C128" t="s">
        <v>146</v>
      </c>
      <c r="D128" t="s">
        <v>17</v>
      </c>
    </row>
    <row r="129" spans="1:10" x14ac:dyDescent="0.2">
      <c r="B129" t="s">
        <v>222</v>
      </c>
      <c r="C129" t="s">
        <v>223</v>
      </c>
      <c r="D129" t="s">
        <v>17</v>
      </c>
    </row>
    <row r="130" spans="1:10" x14ac:dyDescent="0.2">
      <c r="B130" t="s">
        <v>224</v>
      </c>
      <c r="C130" t="s">
        <v>225</v>
      </c>
      <c r="D130" t="s">
        <v>17</v>
      </c>
    </row>
    <row r="131" spans="1:10" x14ac:dyDescent="0.2">
      <c r="B131" t="s">
        <v>226</v>
      </c>
      <c r="C131" t="s">
        <v>227</v>
      </c>
      <c r="D131" t="s">
        <v>17</v>
      </c>
    </row>
    <row r="132" spans="1:10" x14ac:dyDescent="0.2">
      <c r="B132" t="s">
        <v>228</v>
      </c>
      <c r="C132" t="s">
        <v>229</v>
      </c>
      <c r="D132" t="s">
        <v>17</v>
      </c>
    </row>
    <row r="133" spans="1:10" x14ac:dyDescent="0.2">
      <c r="B133" t="s">
        <v>230</v>
      </c>
      <c r="C133" t="s">
        <v>231</v>
      </c>
      <c r="D133" t="s">
        <v>17</v>
      </c>
    </row>
    <row r="134" spans="1:10" x14ac:dyDescent="0.2">
      <c r="B134" t="s">
        <v>232</v>
      </c>
      <c r="C134" t="s">
        <v>233</v>
      </c>
      <c r="D134" t="s">
        <v>17</v>
      </c>
    </row>
    <row r="135" spans="1:10" x14ac:dyDescent="0.2">
      <c r="B135" t="s">
        <v>234</v>
      </c>
      <c r="C135" t="s">
        <v>92</v>
      </c>
      <c r="D135" t="s">
        <v>17</v>
      </c>
    </row>
    <row r="136" spans="1:10" x14ac:dyDescent="0.2">
      <c r="B136" t="s">
        <v>235</v>
      </c>
      <c r="C136" t="s">
        <v>236</v>
      </c>
      <c r="D136" t="s">
        <v>17</v>
      </c>
    </row>
    <row r="137" spans="1:10" x14ac:dyDescent="0.2">
      <c r="B137" t="s">
        <v>237</v>
      </c>
      <c r="C137" t="s">
        <v>238</v>
      </c>
      <c r="D137" t="s">
        <v>17</v>
      </c>
    </row>
    <row r="138" spans="1:10" x14ac:dyDescent="0.2">
      <c r="B138" t="s">
        <v>239</v>
      </c>
      <c r="C138" t="s">
        <v>240</v>
      </c>
      <c r="D138" t="s">
        <v>17</v>
      </c>
    </row>
    <row r="139" spans="1:10" x14ac:dyDescent="0.2">
      <c r="B139" t="s">
        <v>241</v>
      </c>
      <c r="C139" t="s">
        <v>242</v>
      </c>
      <c r="D139" t="s">
        <v>17</v>
      </c>
    </row>
    <row r="140" spans="1:10" x14ac:dyDescent="0.2">
      <c r="B140" t="s">
        <v>8</v>
      </c>
    </row>
    <row r="141" spans="1:10" x14ac:dyDescent="0.2">
      <c r="A141" t="s">
        <v>523</v>
      </c>
      <c r="B141" t="s">
        <v>243</v>
      </c>
      <c r="C141" t="s">
        <v>109</v>
      </c>
      <c r="D141" t="s">
        <v>16</v>
      </c>
      <c r="E141" t="s">
        <v>372</v>
      </c>
      <c r="F141" t="s">
        <v>375</v>
      </c>
      <c r="G141" t="s">
        <v>524</v>
      </c>
      <c r="J141" t="s">
        <v>503</v>
      </c>
    </row>
    <row r="142" spans="1:10" x14ac:dyDescent="0.2">
      <c r="B142" t="s">
        <v>244</v>
      </c>
      <c r="C142" t="s">
        <v>111</v>
      </c>
      <c r="D142" t="s">
        <v>16</v>
      </c>
      <c r="E142" t="s">
        <v>373</v>
      </c>
      <c r="F142" t="s">
        <v>376</v>
      </c>
      <c r="G142" t="s">
        <v>525</v>
      </c>
      <c r="J142" t="s">
        <v>503</v>
      </c>
    </row>
    <row r="143" spans="1:10" x14ac:dyDescent="0.2">
      <c r="B143" t="s">
        <v>245</v>
      </c>
      <c r="C143" t="s">
        <v>246</v>
      </c>
      <c r="D143" t="s">
        <v>16</v>
      </c>
      <c r="E143" t="s">
        <v>373</v>
      </c>
      <c r="F143" t="s">
        <v>375</v>
      </c>
      <c r="G143" t="s">
        <v>526</v>
      </c>
      <c r="J143" t="s">
        <v>503</v>
      </c>
    </row>
    <row r="144" spans="1:10" x14ac:dyDescent="0.2">
      <c r="B144" t="s">
        <v>247</v>
      </c>
      <c r="C144" t="s">
        <v>115</v>
      </c>
      <c r="D144" t="s">
        <v>16</v>
      </c>
      <c r="E144" t="s">
        <v>372</v>
      </c>
      <c r="F144" t="s">
        <v>376</v>
      </c>
      <c r="G144" t="s">
        <v>527</v>
      </c>
      <c r="J144" t="s">
        <v>503</v>
      </c>
    </row>
    <row r="145" spans="1:10" x14ac:dyDescent="0.2">
      <c r="B145" t="s">
        <v>248</v>
      </c>
      <c r="C145" t="s">
        <v>117</v>
      </c>
      <c r="D145" t="s">
        <v>16</v>
      </c>
      <c r="E145" t="s">
        <v>372</v>
      </c>
      <c r="F145" t="s">
        <v>376</v>
      </c>
      <c r="G145" t="s">
        <v>528</v>
      </c>
      <c r="J145" t="s">
        <v>503</v>
      </c>
    </row>
    <row r="146" spans="1:10" x14ac:dyDescent="0.2">
      <c r="B146" t="s">
        <v>249</v>
      </c>
      <c r="C146" t="s">
        <v>250</v>
      </c>
      <c r="D146" t="s">
        <v>16</v>
      </c>
      <c r="E146" t="s">
        <v>372</v>
      </c>
      <c r="F146" t="s">
        <v>376</v>
      </c>
      <c r="G146" t="s">
        <v>529</v>
      </c>
      <c r="J146" t="s">
        <v>503</v>
      </c>
    </row>
    <row r="147" spans="1:10" x14ac:dyDescent="0.2">
      <c r="B147" t="s">
        <v>251</v>
      </c>
      <c r="C147" t="s">
        <v>121</v>
      </c>
      <c r="D147" t="s">
        <v>16</v>
      </c>
      <c r="E147" t="s">
        <v>372</v>
      </c>
      <c r="F147" t="s">
        <v>376</v>
      </c>
      <c r="G147" t="s">
        <v>530</v>
      </c>
      <c r="J147" t="s">
        <v>503</v>
      </c>
    </row>
    <row r="148" spans="1:10" x14ac:dyDescent="0.2">
      <c r="B148" t="s">
        <v>252</v>
      </c>
      <c r="C148" t="s">
        <v>123</v>
      </c>
      <c r="D148" t="s">
        <v>16</v>
      </c>
      <c r="E148" t="s">
        <v>372</v>
      </c>
      <c r="F148" t="s">
        <v>376</v>
      </c>
      <c r="G148" t="s">
        <v>531</v>
      </c>
      <c r="J148" t="s">
        <v>503</v>
      </c>
    </row>
    <row r="149" spans="1:10" x14ac:dyDescent="0.2">
      <c r="B149" t="s">
        <v>253</v>
      </c>
      <c r="C149" t="s">
        <v>125</v>
      </c>
      <c r="D149" t="s">
        <v>16</v>
      </c>
      <c r="E149" t="s">
        <v>507</v>
      </c>
      <c r="F149" t="s">
        <v>375</v>
      </c>
      <c r="G149" t="s">
        <v>532</v>
      </c>
      <c r="J149" t="s">
        <v>503</v>
      </c>
    </row>
    <row r="150" spans="1:10" x14ac:dyDescent="0.2">
      <c r="B150" t="s">
        <v>254</v>
      </c>
      <c r="C150" t="s">
        <v>255</v>
      </c>
      <c r="D150" t="s">
        <v>16</v>
      </c>
      <c r="E150" t="s">
        <v>372</v>
      </c>
      <c r="F150" t="s">
        <v>376</v>
      </c>
      <c r="G150" t="s">
        <v>533</v>
      </c>
      <c r="J150" t="s">
        <v>503</v>
      </c>
    </row>
    <row r="151" spans="1:10" x14ac:dyDescent="0.2">
      <c r="B151" t="s">
        <v>256</v>
      </c>
      <c r="C151" t="s">
        <v>257</v>
      </c>
      <c r="D151" t="s">
        <v>16</v>
      </c>
      <c r="E151" t="s">
        <v>372</v>
      </c>
      <c r="F151" t="s">
        <v>375</v>
      </c>
      <c r="G151" t="s">
        <v>534</v>
      </c>
      <c r="J151" t="s">
        <v>503</v>
      </c>
    </row>
    <row r="152" spans="1:10" x14ac:dyDescent="0.2">
      <c r="B152" t="s">
        <v>394</v>
      </c>
      <c r="J152" t="s">
        <v>503</v>
      </c>
    </row>
    <row r="153" spans="1:10" x14ac:dyDescent="0.2">
      <c r="A153" t="s">
        <v>394</v>
      </c>
      <c r="B153" t="s">
        <v>395</v>
      </c>
      <c r="C153" t="s">
        <v>109</v>
      </c>
      <c r="D153" t="s">
        <v>16</v>
      </c>
      <c r="E153" t="s">
        <v>372</v>
      </c>
      <c r="F153" t="s">
        <v>375</v>
      </c>
      <c r="G153" t="s">
        <v>535</v>
      </c>
      <c r="H153" t="s">
        <v>243</v>
      </c>
      <c r="J153" t="s">
        <v>503</v>
      </c>
    </row>
    <row r="154" spans="1:10" x14ac:dyDescent="0.2">
      <c r="B154" t="s">
        <v>396</v>
      </c>
      <c r="C154" t="s">
        <v>111</v>
      </c>
      <c r="D154" t="s">
        <v>16</v>
      </c>
      <c r="E154" t="s">
        <v>373</v>
      </c>
      <c r="F154" t="s">
        <v>376</v>
      </c>
      <c r="G154" t="s">
        <v>536</v>
      </c>
      <c r="H154" t="s">
        <v>244</v>
      </c>
      <c r="J154" t="s">
        <v>503</v>
      </c>
    </row>
    <row r="155" spans="1:10" x14ac:dyDescent="0.2">
      <c r="B155" t="s">
        <v>397</v>
      </c>
      <c r="C155" t="s">
        <v>246</v>
      </c>
      <c r="D155" t="s">
        <v>16</v>
      </c>
      <c r="E155" t="s">
        <v>373</v>
      </c>
      <c r="F155" t="s">
        <v>375</v>
      </c>
      <c r="G155" t="s">
        <v>537</v>
      </c>
      <c r="H155" t="s">
        <v>245</v>
      </c>
      <c r="J155" t="s">
        <v>503</v>
      </c>
    </row>
    <row r="156" spans="1:10" x14ac:dyDescent="0.2">
      <c r="B156" t="s">
        <v>398</v>
      </c>
      <c r="C156" t="s">
        <v>115</v>
      </c>
      <c r="D156" t="s">
        <v>16</v>
      </c>
      <c r="E156" t="s">
        <v>372</v>
      </c>
      <c r="F156" t="s">
        <v>376</v>
      </c>
      <c r="G156" t="s">
        <v>538</v>
      </c>
      <c r="H156" t="s">
        <v>247</v>
      </c>
      <c r="J156" t="s">
        <v>503</v>
      </c>
    </row>
    <row r="157" spans="1:10" x14ac:dyDescent="0.2">
      <c r="B157" t="s">
        <v>399</v>
      </c>
      <c r="C157" t="s">
        <v>117</v>
      </c>
      <c r="D157" t="s">
        <v>16</v>
      </c>
      <c r="E157" t="s">
        <v>372</v>
      </c>
      <c r="F157" t="s">
        <v>376</v>
      </c>
      <c r="G157" t="s">
        <v>539</v>
      </c>
      <c r="H157" t="s">
        <v>248</v>
      </c>
      <c r="J157" t="s">
        <v>503</v>
      </c>
    </row>
    <row r="158" spans="1:10" x14ac:dyDescent="0.2">
      <c r="B158" t="s">
        <v>400</v>
      </c>
      <c r="C158" t="s">
        <v>250</v>
      </c>
      <c r="D158" t="s">
        <v>16</v>
      </c>
      <c r="E158" t="s">
        <v>372</v>
      </c>
      <c r="F158" t="s">
        <v>376</v>
      </c>
      <c r="G158" t="s">
        <v>540</v>
      </c>
      <c r="H158" t="s">
        <v>249</v>
      </c>
      <c r="J158" t="s">
        <v>503</v>
      </c>
    </row>
    <row r="159" spans="1:10" x14ac:dyDescent="0.2">
      <c r="B159" t="s">
        <v>401</v>
      </c>
      <c r="C159" t="s">
        <v>121</v>
      </c>
      <c r="D159" t="s">
        <v>16</v>
      </c>
      <c r="E159" t="s">
        <v>372</v>
      </c>
      <c r="F159" t="s">
        <v>376</v>
      </c>
      <c r="G159" t="s">
        <v>541</v>
      </c>
      <c r="H159" t="s">
        <v>251</v>
      </c>
      <c r="J159" t="s">
        <v>503</v>
      </c>
    </row>
    <row r="160" spans="1:10" x14ac:dyDescent="0.2">
      <c r="B160" t="s">
        <v>402</v>
      </c>
      <c r="C160" t="s">
        <v>123</v>
      </c>
      <c r="D160" t="s">
        <v>16</v>
      </c>
      <c r="E160" t="s">
        <v>372</v>
      </c>
      <c r="F160" t="s">
        <v>376</v>
      </c>
      <c r="G160" t="s">
        <v>542</v>
      </c>
      <c r="H160" t="s">
        <v>252</v>
      </c>
      <c r="J160" t="s">
        <v>503</v>
      </c>
    </row>
    <row r="161" spans="1:10" x14ac:dyDescent="0.2">
      <c r="B161" t="s">
        <v>403</v>
      </c>
      <c r="C161" t="s">
        <v>125</v>
      </c>
      <c r="D161" t="s">
        <v>16</v>
      </c>
      <c r="E161" t="s">
        <v>507</v>
      </c>
      <c r="F161" t="s">
        <v>375</v>
      </c>
      <c r="G161" t="s">
        <v>543</v>
      </c>
      <c r="H161" t="s">
        <v>253</v>
      </c>
      <c r="J161" t="s">
        <v>503</v>
      </c>
    </row>
    <row r="162" spans="1:10" x14ac:dyDescent="0.2">
      <c r="B162" t="s">
        <v>404</v>
      </c>
      <c r="C162" t="s">
        <v>255</v>
      </c>
      <c r="D162" t="s">
        <v>16</v>
      </c>
      <c r="E162" t="s">
        <v>372</v>
      </c>
      <c r="F162" t="s">
        <v>376</v>
      </c>
      <c r="G162" t="s">
        <v>544</v>
      </c>
      <c r="H162" t="s">
        <v>254</v>
      </c>
      <c r="J162" t="s">
        <v>503</v>
      </c>
    </row>
    <row r="163" spans="1:10" x14ac:dyDescent="0.2">
      <c r="B163" t="s">
        <v>405</v>
      </c>
      <c r="C163" t="s">
        <v>257</v>
      </c>
      <c r="D163" t="s">
        <v>16</v>
      </c>
      <c r="E163" t="s">
        <v>372</v>
      </c>
      <c r="F163" t="s">
        <v>375</v>
      </c>
      <c r="G163" t="s">
        <v>545</v>
      </c>
      <c r="H163" t="s">
        <v>256</v>
      </c>
      <c r="J163" t="s">
        <v>503</v>
      </c>
    </row>
    <row r="164" spans="1:10" x14ac:dyDescent="0.2">
      <c r="B164" t="s">
        <v>406</v>
      </c>
      <c r="J164" t="s">
        <v>503</v>
      </c>
    </row>
    <row r="165" spans="1:10" x14ac:dyDescent="0.2">
      <c r="A165" t="s">
        <v>406</v>
      </c>
      <c r="B165" t="s">
        <v>407</v>
      </c>
      <c r="C165" t="s">
        <v>109</v>
      </c>
      <c r="D165" t="s">
        <v>16</v>
      </c>
      <c r="E165" t="s">
        <v>372</v>
      </c>
      <c r="F165" t="s">
        <v>375</v>
      </c>
      <c r="G165" t="s">
        <v>546</v>
      </c>
      <c r="H165" t="s">
        <v>547</v>
      </c>
      <c r="J165" t="s">
        <v>503</v>
      </c>
    </row>
    <row r="166" spans="1:10" x14ac:dyDescent="0.2">
      <c r="B166" t="s">
        <v>408</v>
      </c>
      <c r="C166" t="s">
        <v>111</v>
      </c>
      <c r="D166" t="s">
        <v>16</v>
      </c>
      <c r="E166" t="s">
        <v>373</v>
      </c>
      <c r="F166" t="s">
        <v>376</v>
      </c>
      <c r="G166" t="s">
        <v>548</v>
      </c>
      <c r="H166" t="s">
        <v>549</v>
      </c>
      <c r="J166" t="s">
        <v>503</v>
      </c>
    </row>
    <row r="167" spans="1:10" x14ac:dyDescent="0.2">
      <c r="B167" t="s">
        <v>409</v>
      </c>
      <c r="C167" t="s">
        <v>246</v>
      </c>
      <c r="D167" t="s">
        <v>16</v>
      </c>
      <c r="E167" t="s">
        <v>373</v>
      </c>
      <c r="F167" t="s">
        <v>375</v>
      </c>
      <c r="G167" t="s">
        <v>550</v>
      </c>
      <c r="H167" t="s">
        <v>551</v>
      </c>
      <c r="J167" t="s">
        <v>503</v>
      </c>
    </row>
    <row r="168" spans="1:10" x14ac:dyDescent="0.2">
      <c r="B168" t="s">
        <v>410</v>
      </c>
      <c r="C168" t="s">
        <v>115</v>
      </c>
      <c r="D168" t="s">
        <v>16</v>
      </c>
      <c r="E168" t="s">
        <v>372</v>
      </c>
      <c r="F168" t="s">
        <v>376</v>
      </c>
      <c r="G168" t="s">
        <v>552</v>
      </c>
      <c r="H168" t="s">
        <v>553</v>
      </c>
      <c r="J168" t="s">
        <v>503</v>
      </c>
    </row>
    <row r="169" spans="1:10" x14ac:dyDescent="0.2">
      <c r="B169" t="s">
        <v>411</v>
      </c>
      <c r="C169" t="s">
        <v>117</v>
      </c>
      <c r="D169" t="s">
        <v>16</v>
      </c>
      <c r="E169" t="s">
        <v>372</v>
      </c>
      <c r="F169" t="s">
        <v>376</v>
      </c>
      <c r="G169" t="s">
        <v>554</v>
      </c>
      <c r="H169" t="s">
        <v>555</v>
      </c>
      <c r="J169" t="s">
        <v>503</v>
      </c>
    </row>
    <row r="170" spans="1:10" x14ac:dyDescent="0.2">
      <c r="B170" t="s">
        <v>412</v>
      </c>
      <c r="C170" t="s">
        <v>250</v>
      </c>
      <c r="D170" t="s">
        <v>16</v>
      </c>
      <c r="E170" t="s">
        <v>372</v>
      </c>
      <c r="F170" t="s">
        <v>376</v>
      </c>
      <c r="G170" t="s">
        <v>556</v>
      </c>
      <c r="H170" t="s">
        <v>557</v>
      </c>
      <c r="J170" t="s">
        <v>503</v>
      </c>
    </row>
    <row r="171" spans="1:10" x14ac:dyDescent="0.2">
      <c r="B171" t="s">
        <v>413</v>
      </c>
      <c r="C171" t="s">
        <v>121</v>
      </c>
      <c r="D171" t="s">
        <v>16</v>
      </c>
      <c r="E171" t="s">
        <v>372</v>
      </c>
      <c r="F171" t="s">
        <v>376</v>
      </c>
      <c r="G171" t="s">
        <v>558</v>
      </c>
      <c r="H171" t="s">
        <v>559</v>
      </c>
      <c r="J171" t="s">
        <v>503</v>
      </c>
    </row>
    <row r="172" spans="1:10" x14ac:dyDescent="0.2">
      <c r="B172" t="s">
        <v>414</v>
      </c>
      <c r="C172" t="s">
        <v>123</v>
      </c>
      <c r="D172" t="s">
        <v>16</v>
      </c>
      <c r="E172" t="s">
        <v>372</v>
      </c>
      <c r="F172" t="s">
        <v>376</v>
      </c>
      <c r="G172" t="s">
        <v>560</v>
      </c>
      <c r="H172" t="s">
        <v>561</v>
      </c>
      <c r="J172" t="s">
        <v>503</v>
      </c>
    </row>
    <row r="173" spans="1:10" x14ac:dyDescent="0.2">
      <c r="B173" t="s">
        <v>415</v>
      </c>
      <c r="C173" t="s">
        <v>125</v>
      </c>
      <c r="D173" t="s">
        <v>16</v>
      </c>
      <c r="E173" t="s">
        <v>507</v>
      </c>
      <c r="F173" t="s">
        <v>375</v>
      </c>
      <c r="G173" t="s">
        <v>562</v>
      </c>
      <c r="H173" t="s">
        <v>563</v>
      </c>
      <c r="J173" t="s">
        <v>503</v>
      </c>
    </row>
    <row r="174" spans="1:10" x14ac:dyDescent="0.2">
      <c r="B174" t="s">
        <v>416</v>
      </c>
      <c r="C174" t="s">
        <v>255</v>
      </c>
      <c r="D174" t="s">
        <v>16</v>
      </c>
      <c r="E174" t="s">
        <v>372</v>
      </c>
      <c r="F174" t="s">
        <v>376</v>
      </c>
      <c r="G174" t="s">
        <v>564</v>
      </c>
      <c r="H174" t="s">
        <v>565</v>
      </c>
      <c r="J174" t="s">
        <v>503</v>
      </c>
    </row>
    <row r="175" spans="1:10" x14ac:dyDescent="0.2">
      <c r="B175" t="s">
        <v>417</v>
      </c>
      <c r="C175" t="s">
        <v>257</v>
      </c>
      <c r="D175" t="s">
        <v>16</v>
      </c>
      <c r="E175" t="s">
        <v>372</v>
      </c>
      <c r="F175" t="s">
        <v>375</v>
      </c>
      <c r="G175" t="s">
        <v>566</v>
      </c>
      <c r="H175" t="s">
        <v>567</v>
      </c>
      <c r="J175" t="s">
        <v>503</v>
      </c>
    </row>
    <row r="176" spans="1:10" x14ac:dyDescent="0.2">
      <c r="B176" t="s">
        <v>418</v>
      </c>
      <c r="C176" t="s">
        <v>109</v>
      </c>
      <c r="D176" t="s">
        <v>16</v>
      </c>
      <c r="E176" t="s">
        <v>372</v>
      </c>
      <c r="F176" t="s">
        <v>375</v>
      </c>
      <c r="G176" t="s">
        <v>546</v>
      </c>
      <c r="H176" t="s">
        <v>547</v>
      </c>
      <c r="J176" t="s">
        <v>503</v>
      </c>
    </row>
    <row r="177" spans="1:10" x14ac:dyDescent="0.2">
      <c r="B177" t="s">
        <v>419</v>
      </c>
      <c r="C177" t="s">
        <v>111</v>
      </c>
      <c r="D177" t="s">
        <v>16</v>
      </c>
      <c r="E177" t="s">
        <v>373</v>
      </c>
      <c r="F177" t="s">
        <v>376</v>
      </c>
      <c r="G177" t="s">
        <v>548</v>
      </c>
      <c r="H177" t="s">
        <v>549</v>
      </c>
      <c r="J177" t="s">
        <v>503</v>
      </c>
    </row>
    <row r="178" spans="1:10" x14ac:dyDescent="0.2">
      <c r="B178" t="s">
        <v>420</v>
      </c>
      <c r="C178" t="s">
        <v>246</v>
      </c>
      <c r="D178" t="s">
        <v>16</v>
      </c>
      <c r="E178" t="s">
        <v>373</v>
      </c>
      <c r="F178" t="s">
        <v>375</v>
      </c>
      <c r="G178" t="s">
        <v>550</v>
      </c>
      <c r="H178" t="s">
        <v>551</v>
      </c>
      <c r="J178" t="s">
        <v>503</v>
      </c>
    </row>
    <row r="179" spans="1:10" x14ac:dyDescent="0.2">
      <c r="B179" t="s">
        <v>421</v>
      </c>
      <c r="C179" t="s">
        <v>115</v>
      </c>
      <c r="D179" t="s">
        <v>16</v>
      </c>
      <c r="E179" t="s">
        <v>372</v>
      </c>
      <c r="F179" t="s">
        <v>376</v>
      </c>
      <c r="G179" t="s">
        <v>552</v>
      </c>
      <c r="H179" t="s">
        <v>553</v>
      </c>
      <c r="J179" t="s">
        <v>503</v>
      </c>
    </row>
    <row r="180" spans="1:10" x14ac:dyDescent="0.2">
      <c r="B180" t="s">
        <v>422</v>
      </c>
      <c r="C180" t="s">
        <v>117</v>
      </c>
      <c r="D180" t="s">
        <v>16</v>
      </c>
      <c r="E180" t="s">
        <v>372</v>
      </c>
      <c r="F180" t="s">
        <v>376</v>
      </c>
      <c r="G180" t="s">
        <v>554</v>
      </c>
      <c r="H180" t="s">
        <v>555</v>
      </c>
      <c r="J180" t="s">
        <v>503</v>
      </c>
    </row>
    <row r="181" spans="1:10" x14ac:dyDescent="0.2">
      <c r="B181" t="s">
        <v>423</v>
      </c>
      <c r="C181" t="s">
        <v>250</v>
      </c>
      <c r="D181" t="s">
        <v>16</v>
      </c>
      <c r="E181" t="s">
        <v>372</v>
      </c>
      <c r="F181" t="s">
        <v>376</v>
      </c>
      <c r="G181" t="s">
        <v>556</v>
      </c>
      <c r="H181" t="s">
        <v>557</v>
      </c>
      <c r="J181" t="s">
        <v>503</v>
      </c>
    </row>
    <row r="182" spans="1:10" x14ac:dyDescent="0.2">
      <c r="B182" t="s">
        <v>424</v>
      </c>
      <c r="C182" t="s">
        <v>121</v>
      </c>
      <c r="D182" t="s">
        <v>16</v>
      </c>
      <c r="E182" t="s">
        <v>372</v>
      </c>
      <c r="F182" t="s">
        <v>376</v>
      </c>
      <c r="G182" t="s">
        <v>558</v>
      </c>
      <c r="H182" t="s">
        <v>559</v>
      </c>
      <c r="J182" t="s">
        <v>503</v>
      </c>
    </row>
    <row r="183" spans="1:10" x14ac:dyDescent="0.2">
      <c r="B183" t="s">
        <v>425</v>
      </c>
      <c r="C183" t="s">
        <v>123</v>
      </c>
      <c r="D183" t="s">
        <v>16</v>
      </c>
      <c r="E183" t="s">
        <v>372</v>
      </c>
      <c r="F183" t="s">
        <v>376</v>
      </c>
      <c r="G183" t="s">
        <v>560</v>
      </c>
      <c r="H183" t="s">
        <v>561</v>
      </c>
      <c r="J183" t="s">
        <v>503</v>
      </c>
    </row>
    <row r="184" spans="1:10" x14ac:dyDescent="0.2">
      <c r="B184" t="s">
        <v>426</v>
      </c>
      <c r="C184" t="s">
        <v>125</v>
      </c>
      <c r="D184" t="s">
        <v>16</v>
      </c>
      <c r="E184" t="s">
        <v>507</v>
      </c>
      <c r="F184" t="s">
        <v>375</v>
      </c>
      <c r="G184" t="s">
        <v>562</v>
      </c>
      <c r="H184" t="s">
        <v>563</v>
      </c>
      <c r="J184" t="s">
        <v>503</v>
      </c>
    </row>
    <row r="185" spans="1:10" x14ac:dyDescent="0.2">
      <c r="B185" t="s">
        <v>427</v>
      </c>
      <c r="C185" t="s">
        <v>255</v>
      </c>
      <c r="D185" t="s">
        <v>16</v>
      </c>
      <c r="E185" t="s">
        <v>372</v>
      </c>
      <c r="F185" t="s">
        <v>376</v>
      </c>
      <c r="G185" t="s">
        <v>564</v>
      </c>
      <c r="H185" t="s">
        <v>565</v>
      </c>
      <c r="J185" t="s">
        <v>503</v>
      </c>
    </row>
    <row r="186" spans="1:10" x14ac:dyDescent="0.2">
      <c r="B186" t="s">
        <v>428</v>
      </c>
      <c r="C186" t="s">
        <v>257</v>
      </c>
      <c r="D186" t="s">
        <v>16</v>
      </c>
      <c r="E186" t="s">
        <v>372</v>
      </c>
      <c r="F186" t="s">
        <v>375</v>
      </c>
      <c r="G186" t="s">
        <v>566</v>
      </c>
      <c r="H186" t="s">
        <v>567</v>
      </c>
      <c r="J186" t="s">
        <v>503</v>
      </c>
    </row>
    <row r="187" spans="1:10" x14ac:dyDescent="0.2">
      <c r="B187" t="s">
        <v>7</v>
      </c>
      <c r="J187" t="s">
        <v>503</v>
      </c>
    </row>
    <row r="188" spans="1:10" x14ac:dyDescent="0.2">
      <c r="A188" t="s">
        <v>568</v>
      </c>
      <c r="B188" t="s">
        <v>258</v>
      </c>
      <c r="C188" t="s">
        <v>259</v>
      </c>
      <c r="D188" t="s">
        <v>19</v>
      </c>
      <c r="G188" t="s">
        <v>569</v>
      </c>
    </row>
    <row r="189" spans="1:10" x14ac:dyDescent="0.2">
      <c r="B189" t="s">
        <v>260</v>
      </c>
      <c r="C189" t="s">
        <v>261</v>
      </c>
      <c r="D189" t="s">
        <v>19</v>
      </c>
      <c r="G189" t="s">
        <v>570</v>
      </c>
    </row>
    <row r="190" spans="1:10" x14ac:dyDescent="0.2">
      <c r="B190" t="s">
        <v>262</v>
      </c>
      <c r="C190" t="s">
        <v>263</v>
      </c>
      <c r="D190" t="s">
        <v>19</v>
      </c>
    </row>
    <row r="191" spans="1:10" x14ac:dyDescent="0.2">
      <c r="B191" t="s">
        <v>264</v>
      </c>
      <c r="C191" t="s">
        <v>265</v>
      </c>
      <c r="D191" t="s">
        <v>19</v>
      </c>
    </row>
    <row r="192" spans="1:10" x14ac:dyDescent="0.2">
      <c r="B192" t="s">
        <v>266</v>
      </c>
      <c r="C192" t="s">
        <v>267</v>
      </c>
      <c r="D192" t="s">
        <v>19</v>
      </c>
      <c r="J192" t="s">
        <v>503</v>
      </c>
    </row>
    <row r="193" spans="1:10" x14ac:dyDescent="0.2">
      <c r="B193" t="s">
        <v>268</v>
      </c>
      <c r="C193" t="s">
        <v>269</v>
      </c>
      <c r="D193" t="s">
        <v>19</v>
      </c>
      <c r="J193" t="s">
        <v>503</v>
      </c>
    </row>
    <row r="194" spans="1:10" x14ac:dyDescent="0.2">
      <c r="B194" t="s">
        <v>270</v>
      </c>
      <c r="C194" t="s">
        <v>271</v>
      </c>
      <c r="D194" t="s">
        <v>19</v>
      </c>
      <c r="J194" t="s">
        <v>503</v>
      </c>
    </row>
    <row r="195" spans="1:10" x14ac:dyDescent="0.2">
      <c r="B195" t="s">
        <v>272</v>
      </c>
      <c r="C195" t="s">
        <v>273</v>
      </c>
      <c r="D195" t="s">
        <v>19</v>
      </c>
      <c r="G195" t="s">
        <v>571</v>
      </c>
    </row>
    <row r="196" spans="1:10" x14ac:dyDescent="0.2">
      <c r="B196" t="s">
        <v>274</v>
      </c>
      <c r="C196" t="s">
        <v>275</v>
      </c>
      <c r="D196" t="s">
        <v>19</v>
      </c>
      <c r="G196" t="s">
        <v>572</v>
      </c>
    </row>
    <row r="197" spans="1:10" x14ac:dyDescent="0.2">
      <c r="B197" t="s">
        <v>429</v>
      </c>
      <c r="C197" t="s">
        <v>430</v>
      </c>
      <c r="D197" t="s">
        <v>19</v>
      </c>
      <c r="E197" t="s">
        <v>372</v>
      </c>
      <c r="F197" t="s">
        <v>375</v>
      </c>
    </row>
    <row r="198" spans="1:10" x14ac:dyDescent="0.2">
      <c r="B198" t="s">
        <v>431</v>
      </c>
      <c r="C198" t="s">
        <v>432</v>
      </c>
      <c r="D198" t="s">
        <v>19</v>
      </c>
      <c r="E198" t="s">
        <v>372</v>
      </c>
      <c r="F198" t="s">
        <v>376</v>
      </c>
    </row>
    <row r="199" spans="1:10" x14ac:dyDescent="0.2">
      <c r="B199" t="s">
        <v>433</v>
      </c>
      <c r="C199" t="s">
        <v>434</v>
      </c>
      <c r="D199" t="s">
        <v>19</v>
      </c>
      <c r="G199" t="s">
        <v>573</v>
      </c>
    </row>
    <row r="200" spans="1:10" x14ac:dyDescent="0.2">
      <c r="B200" t="s">
        <v>276</v>
      </c>
      <c r="C200" t="s">
        <v>435</v>
      </c>
      <c r="D200" t="s">
        <v>19</v>
      </c>
      <c r="G200" t="s">
        <v>574</v>
      </c>
    </row>
    <row r="201" spans="1:10" x14ac:dyDescent="0.2">
      <c r="B201" t="s">
        <v>436</v>
      </c>
    </row>
    <row r="202" spans="1:10" x14ac:dyDescent="0.2">
      <c r="A202" t="s">
        <v>575</v>
      </c>
      <c r="B202" t="s">
        <v>437</v>
      </c>
      <c r="C202" t="s">
        <v>438</v>
      </c>
      <c r="D202" t="s">
        <v>19</v>
      </c>
      <c r="G202" t="s">
        <v>576</v>
      </c>
    </row>
    <row r="203" spans="1:10" x14ac:dyDescent="0.2">
      <c r="B203" t="s">
        <v>439</v>
      </c>
      <c r="C203" t="s">
        <v>440</v>
      </c>
      <c r="D203" t="s">
        <v>19</v>
      </c>
      <c r="G203" t="s">
        <v>577</v>
      </c>
    </row>
    <row r="204" spans="1:10" x14ac:dyDescent="0.2">
      <c r="B204" t="s">
        <v>441</v>
      </c>
      <c r="C204" t="s">
        <v>442</v>
      </c>
      <c r="D204" t="s">
        <v>19</v>
      </c>
      <c r="G204" t="s">
        <v>578</v>
      </c>
    </row>
    <row r="205" spans="1:10" x14ac:dyDescent="0.2">
      <c r="B205" t="s">
        <v>443</v>
      </c>
      <c r="C205" t="s">
        <v>444</v>
      </c>
      <c r="D205" t="s">
        <v>19</v>
      </c>
      <c r="G205" t="s">
        <v>579</v>
      </c>
    </row>
    <row r="206" spans="1:10" x14ac:dyDescent="0.2">
      <c r="B206" t="s">
        <v>445</v>
      </c>
      <c r="C206" t="s">
        <v>446</v>
      </c>
      <c r="D206" t="s">
        <v>19</v>
      </c>
    </row>
    <row r="207" spans="1:10" x14ac:dyDescent="0.2">
      <c r="B207" t="s">
        <v>447</v>
      </c>
      <c r="C207" t="s">
        <v>448</v>
      </c>
      <c r="D207" t="s">
        <v>19</v>
      </c>
    </row>
    <row r="208" spans="1:10" x14ac:dyDescent="0.2">
      <c r="B208" t="s">
        <v>449</v>
      </c>
      <c r="C208" t="s">
        <v>450</v>
      </c>
      <c r="D208" t="s">
        <v>19</v>
      </c>
      <c r="G208" t="s">
        <v>106</v>
      </c>
    </row>
    <row r="209" spans="1:7" x14ac:dyDescent="0.2">
      <c r="B209" t="s">
        <v>451</v>
      </c>
      <c r="C209" t="s">
        <v>452</v>
      </c>
      <c r="D209" t="s">
        <v>19</v>
      </c>
      <c r="G209" t="s">
        <v>492</v>
      </c>
    </row>
    <row r="210" spans="1:7" x14ac:dyDescent="0.2">
      <c r="B210" t="s">
        <v>4</v>
      </c>
    </row>
    <row r="211" spans="1:7" x14ac:dyDescent="0.2">
      <c r="A211" t="s">
        <v>580</v>
      </c>
      <c r="B211" t="s">
        <v>277</v>
      </c>
      <c r="C211" t="s">
        <v>453</v>
      </c>
      <c r="D211" t="s">
        <v>19</v>
      </c>
      <c r="G211" t="s">
        <v>132</v>
      </c>
    </row>
    <row r="212" spans="1:7" x14ac:dyDescent="0.2">
      <c r="B212" t="s">
        <v>278</v>
      </c>
      <c r="C212" t="s">
        <v>454</v>
      </c>
      <c r="D212" t="s">
        <v>19</v>
      </c>
      <c r="G212" t="s">
        <v>510</v>
      </c>
    </row>
    <row r="213" spans="1:7" x14ac:dyDescent="0.2">
      <c r="B213" t="s">
        <v>279</v>
      </c>
      <c r="C213" t="s">
        <v>455</v>
      </c>
      <c r="D213" t="s">
        <v>19</v>
      </c>
    </row>
    <row r="214" spans="1:7" x14ac:dyDescent="0.2">
      <c r="B214" t="s">
        <v>280</v>
      </c>
      <c r="C214" t="s">
        <v>456</v>
      </c>
      <c r="D214" t="s">
        <v>19</v>
      </c>
    </row>
    <row r="215" spans="1:7" x14ac:dyDescent="0.2">
      <c r="B215" t="s">
        <v>281</v>
      </c>
      <c r="C215" t="s">
        <v>457</v>
      </c>
      <c r="D215" t="s">
        <v>19</v>
      </c>
      <c r="G215" t="s">
        <v>147</v>
      </c>
    </row>
    <row r="216" spans="1:7" x14ac:dyDescent="0.2">
      <c r="B216" t="s">
        <v>282</v>
      </c>
      <c r="C216" t="s">
        <v>458</v>
      </c>
      <c r="D216" t="s">
        <v>19</v>
      </c>
      <c r="G216" t="s">
        <v>581</v>
      </c>
    </row>
    <row r="217" spans="1:7" x14ac:dyDescent="0.2">
      <c r="B217" t="s">
        <v>283</v>
      </c>
      <c r="C217" t="s">
        <v>459</v>
      </c>
      <c r="D217" t="s">
        <v>19</v>
      </c>
      <c r="G217" t="s">
        <v>137</v>
      </c>
    </row>
    <row r="218" spans="1:7" x14ac:dyDescent="0.2">
      <c r="B218" t="s">
        <v>284</v>
      </c>
      <c r="C218" t="s">
        <v>460</v>
      </c>
      <c r="D218" t="s">
        <v>19</v>
      </c>
      <c r="G218" t="s">
        <v>139</v>
      </c>
    </row>
    <row r="219" spans="1:7" x14ac:dyDescent="0.2">
      <c r="B219" t="s">
        <v>285</v>
      </c>
      <c r="C219" t="s">
        <v>461</v>
      </c>
      <c r="D219" t="s">
        <v>19</v>
      </c>
      <c r="G219" t="s">
        <v>141</v>
      </c>
    </row>
    <row r="220" spans="1:7" x14ac:dyDescent="0.2">
      <c r="B220" t="s">
        <v>286</v>
      </c>
      <c r="C220" t="s">
        <v>462</v>
      </c>
      <c r="D220" t="s">
        <v>19</v>
      </c>
      <c r="G220" t="s">
        <v>143</v>
      </c>
    </row>
    <row r="221" spans="1:7" x14ac:dyDescent="0.2">
      <c r="B221" t="s">
        <v>287</v>
      </c>
      <c r="C221" t="s">
        <v>463</v>
      </c>
      <c r="D221" t="s">
        <v>19</v>
      </c>
      <c r="G221" t="s">
        <v>144</v>
      </c>
    </row>
    <row r="222" spans="1:7" x14ac:dyDescent="0.2">
      <c r="B222" t="s">
        <v>288</v>
      </c>
      <c r="C222" t="s">
        <v>464</v>
      </c>
      <c r="D222" t="s">
        <v>19</v>
      </c>
      <c r="G222" t="s">
        <v>145</v>
      </c>
    </row>
    <row r="223" spans="1:7" x14ac:dyDescent="0.2">
      <c r="B223" t="s">
        <v>289</v>
      </c>
    </row>
    <row r="224" spans="1:7" x14ac:dyDescent="0.2">
      <c r="A224" t="s">
        <v>582</v>
      </c>
      <c r="B224" t="s">
        <v>290</v>
      </c>
      <c r="C224" t="s">
        <v>465</v>
      </c>
      <c r="D224" t="s">
        <v>19</v>
      </c>
      <c r="G224" t="s">
        <v>148</v>
      </c>
    </row>
    <row r="225" spans="1:7" x14ac:dyDescent="0.2">
      <c r="B225" t="s">
        <v>291</v>
      </c>
      <c r="C225" t="s">
        <v>466</v>
      </c>
      <c r="D225" t="s">
        <v>19</v>
      </c>
      <c r="G225" t="s">
        <v>512</v>
      </c>
    </row>
    <row r="226" spans="1:7" x14ac:dyDescent="0.2">
      <c r="B226" t="s">
        <v>292</v>
      </c>
      <c r="C226" t="s">
        <v>467</v>
      </c>
      <c r="D226" t="s">
        <v>19</v>
      </c>
    </row>
    <row r="227" spans="1:7" x14ac:dyDescent="0.2">
      <c r="B227" t="s">
        <v>293</v>
      </c>
      <c r="C227" t="s">
        <v>468</v>
      </c>
      <c r="D227" t="s">
        <v>19</v>
      </c>
    </row>
    <row r="228" spans="1:7" x14ac:dyDescent="0.2">
      <c r="B228" t="s">
        <v>294</v>
      </c>
      <c r="C228" t="s">
        <v>469</v>
      </c>
      <c r="D228" t="s">
        <v>19</v>
      </c>
      <c r="G228" t="s">
        <v>162</v>
      </c>
    </row>
    <row r="229" spans="1:7" x14ac:dyDescent="0.2">
      <c r="B229" t="s">
        <v>295</v>
      </c>
      <c r="C229" t="s">
        <v>470</v>
      </c>
      <c r="D229" t="s">
        <v>19</v>
      </c>
      <c r="G229" t="s">
        <v>583</v>
      </c>
    </row>
    <row r="230" spans="1:7" x14ac:dyDescent="0.2">
      <c r="B230" t="s">
        <v>296</v>
      </c>
      <c r="C230" t="s">
        <v>471</v>
      </c>
      <c r="D230" t="s">
        <v>19</v>
      </c>
      <c r="G230" t="s">
        <v>151</v>
      </c>
    </row>
    <row r="231" spans="1:7" x14ac:dyDescent="0.2">
      <c r="B231" t="s">
        <v>297</v>
      </c>
      <c r="C231" t="s">
        <v>472</v>
      </c>
      <c r="D231" t="s">
        <v>19</v>
      </c>
      <c r="G231" t="s">
        <v>152</v>
      </c>
    </row>
    <row r="232" spans="1:7" x14ac:dyDescent="0.2">
      <c r="B232" t="s">
        <v>298</v>
      </c>
      <c r="C232" t="s">
        <v>473</v>
      </c>
      <c r="D232" t="s">
        <v>19</v>
      </c>
      <c r="G232" t="s">
        <v>153</v>
      </c>
    </row>
    <row r="233" spans="1:7" x14ac:dyDescent="0.2">
      <c r="B233" t="s">
        <v>299</v>
      </c>
      <c r="C233" t="s">
        <v>474</v>
      </c>
      <c r="D233" t="s">
        <v>19</v>
      </c>
      <c r="G233" t="s">
        <v>154</v>
      </c>
    </row>
    <row r="234" spans="1:7" x14ac:dyDescent="0.2">
      <c r="B234" t="s">
        <v>300</v>
      </c>
      <c r="C234" t="s">
        <v>475</v>
      </c>
      <c r="D234" t="s">
        <v>19</v>
      </c>
      <c r="G234" t="s">
        <v>155</v>
      </c>
    </row>
    <row r="235" spans="1:7" x14ac:dyDescent="0.2">
      <c r="B235" t="s">
        <v>301</v>
      </c>
      <c r="C235" t="s">
        <v>476</v>
      </c>
      <c r="D235" t="s">
        <v>19</v>
      </c>
      <c r="G235" t="s">
        <v>156</v>
      </c>
    </row>
    <row r="236" spans="1:7" x14ac:dyDescent="0.2">
      <c r="B236" t="s">
        <v>302</v>
      </c>
    </row>
    <row r="237" spans="1:7" x14ac:dyDescent="0.2">
      <c r="A237" t="s">
        <v>584</v>
      </c>
      <c r="B237" t="s">
        <v>303</v>
      </c>
      <c r="C237" t="s">
        <v>477</v>
      </c>
      <c r="D237" t="s">
        <v>19</v>
      </c>
      <c r="G237" t="s">
        <v>164</v>
      </c>
    </row>
    <row r="238" spans="1:7" x14ac:dyDescent="0.2">
      <c r="B238" t="s">
        <v>304</v>
      </c>
      <c r="C238" t="s">
        <v>478</v>
      </c>
      <c r="D238" t="s">
        <v>19</v>
      </c>
      <c r="G238" t="s">
        <v>518</v>
      </c>
    </row>
    <row r="239" spans="1:7" x14ac:dyDescent="0.2">
      <c r="B239" t="s">
        <v>305</v>
      </c>
      <c r="C239" t="s">
        <v>479</v>
      </c>
      <c r="D239" t="s">
        <v>19</v>
      </c>
    </row>
    <row r="240" spans="1:7" x14ac:dyDescent="0.2">
      <c r="B240" t="s">
        <v>306</v>
      </c>
      <c r="C240" t="s">
        <v>480</v>
      </c>
      <c r="D240" t="s">
        <v>19</v>
      </c>
    </row>
    <row r="241" spans="1:8" x14ac:dyDescent="0.2">
      <c r="B241" t="s">
        <v>307</v>
      </c>
      <c r="C241" t="s">
        <v>481</v>
      </c>
      <c r="D241" t="s">
        <v>19</v>
      </c>
      <c r="G241" t="s">
        <v>175</v>
      </c>
    </row>
    <row r="242" spans="1:8" x14ac:dyDescent="0.2">
      <c r="B242" t="s">
        <v>308</v>
      </c>
      <c r="C242" t="s">
        <v>482</v>
      </c>
      <c r="D242" t="s">
        <v>19</v>
      </c>
      <c r="G242" t="s">
        <v>585</v>
      </c>
    </row>
    <row r="243" spans="1:8" x14ac:dyDescent="0.2">
      <c r="B243" t="s">
        <v>309</v>
      </c>
      <c r="C243" t="s">
        <v>483</v>
      </c>
      <c r="D243" t="s">
        <v>19</v>
      </c>
      <c r="G243" t="s">
        <v>167</v>
      </c>
    </row>
    <row r="244" spans="1:8" x14ac:dyDescent="0.2">
      <c r="B244" t="s">
        <v>310</v>
      </c>
      <c r="C244" t="s">
        <v>484</v>
      </c>
      <c r="D244" t="s">
        <v>19</v>
      </c>
      <c r="G244" t="s">
        <v>168</v>
      </c>
    </row>
    <row r="245" spans="1:8" x14ac:dyDescent="0.2">
      <c r="B245" t="s">
        <v>311</v>
      </c>
      <c r="C245" t="s">
        <v>485</v>
      </c>
      <c r="D245" t="s">
        <v>19</v>
      </c>
      <c r="G245" t="s">
        <v>169</v>
      </c>
    </row>
    <row r="246" spans="1:8" x14ac:dyDescent="0.2">
      <c r="B246" t="s">
        <v>312</v>
      </c>
      <c r="C246" t="s">
        <v>486</v>
      </c>
      <c r="D246" t="s">
        <v>19</v>
      </c>
      <c r="G246" t="s">
        <v>170</v>
      </c>
    </row>
    <row r="247" spans="1:8" x14ac:dyDescent="0.2">
      <c r="B247" t="s">
        <v>313</v>
      </c>
      <c r="C247" t="s">
        <v>487</v>
      </c>
      <c r="D247" t="s">
        <v>19</v>
      </c>
      <c r="G247" t="s">
        <v>171</v>
      </c>
    </row>
    <row r="248" spans="1:8" x14ac:dyDescent="0.2">
      <c r="B248" t="s">
        <v>314</v>
      </c>
    </row>
    <row r="249" spans="1:8" x14ac:dyDescent="0.2">
      <c r="A249" t="s">
        <v>586</v>
      </c>
      <c r="B249" t="s">
        <v>315</v>
      </c>
      <c r="C249" t="s">
        <v>316</v>
      </c>
      <c r="D249" t="s">
        <v>19</v>
      </c>
      <c r="G249" t="s">
        <v>513</v>
      </c>
    </row>
    <row r="250" spans="1:8" x14ac:dyDescent="0.2">
      <c r="B250" t="s">
        <v>488</v>
      </c>
      <c r="C250" t="s">
        <v>489</v>
      </c>
      <c r="D250" t="s">
        <v>19</v>
      </c>
      <c r="G250" t="s">
        <v>515</v>
      </c>
    </row>
    <row r="251" spans="1:8" x14ac:dyDescent="0.2">
      <c r="B251" t="s">
        <v>317</v>
      </c>
      <c r="C251" t="s">
        <v>318</v>
      </c>
      <c r="D251" t="s">
        <v>19</v>
      </c>
    </row>
    <row r="252" spans="1:8" x14ac:dyDescent="0.2">
      <c r="B252" t="s">
        <v>319</v>
      </c>
    </row>
    <row r="253" spans="1:8" x14ac:dyDescent="0.2">
      <c r="A253" t="s">
        <v>587</v>
      </c>
      <c r="B253" t="s">
        <v>320</v>
      </c>
      <c r="C253" t="s">
        <v>490</v>
      </c>
      <c r="D253" t="s">
        <v>19</v>
      </c>
      <c r="H253" t="s">
        <v>132</v>
      </c>
    </row>
    <row r="254" spans="1:8" x14ac:dyDescent="0.2">
      <c r="B254" t="s">
        <v>321</v>
      </c>
      <c r="C254" t="s">
        <v>491</v>
      </c>
      <c r="D254" t="s">
        <v>19</v>
      </c>
      <c r="H254" t="s">
        <v>588</v>
      </c>
    </row>
    <row r="255" spans="1:8" x14ac:dyDescent="0.2">
      <c r="B255" t="s">
        <v>322</v>
      </c>
      <c r="C255" t="s">
        <v>323</v>
      </c>
      <c r="D255" t="s">
        <v>19</v>
      </c>
      <c r="G255" t="s">
        <v>589</v>
      </c>
      <c r="H255" t="s">
        <v>590</v>
      </c>
    </row>
    <row r="256" spans="1:8" x14ac:dyDescent="0.2">
      <c r="B256" t="s">
        <v>324</v>
      </c>
      <c r="C256" t="s">
        <v>325</v>
      </c>
      <c r="D256" t="s">
        <v>19</v>
      </c>
      <c r="H256" t="s">
        <v>591</v>
      </c>
    </row>
    <row r="257" spans="2:8" x14ac:dyDescent="0.2">
      <c r="B257" t="s">
        <v>326</v>
      </c>
      <c r="C257" t="s">
        <v>327</v>
      </c>
      <c r="D257" t="s">
        <v>19</v>
      </c>
      <c r="H257" t="s">
        <v>592</v>
      </c>
    </row>
    <row r="258" spans="2:8" x14ac:dyDescent="0.2">
      <c r="B258" t="s">
        <v>328</v>
      </c>
      <c r="C258" t="s">
        <v>329</v>
      </c>
      <c r="D258" t="s">
        <v>19</v>
      </c>
    </row>
    <row r="259" spans="2:8" x14ac:dyDescent="0.2">
      <c r="B259" t="s">
        <v>492</v>
      </c>
      <c r="C259" t="s">
        <v>493</v>
      </c>
      <c r="D259" t="s">
        <v>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D1EC-D34A-4568-9413-4483A5EF93A6}">
  <sheetPr codeName="Sheet2"/>
  <dimension ref="C7:C19"/>
  <sheetViews>
    <sheetView tabSelected="1" topLeftCell="A5" workbookViewId="0">
      <selection activeCell="K31" sqref="K31"/>
    </sheetView>
  </sheetViews>
  <sheetFormatPr defaultRowHeight="11.25" x14ac:dyDescent="0.2"/>
  <cols>
    <col min="3" max="3" width="24.1640625" customWidth="1"/>
  </cols>
  <sheetData>
    <row r="7" spans="3:3" x14ac:dyDescent="0.2">
      <c r="C7" t="s">
        <v>362</v>
      </c>
    </row>
    <row r="8" spans="3:3" x14ac:dyDescent="0.2">
      <c r="C8" t="s">
        <v>342</v>
      </c>
    </row>
    <row r="9" spans="3:3" x14ac:dyDescent="0.2">
      <c r="C9" t="s">
        <v>341</v>
      </c>
    </row>
    <row r="10" spans="3:3" x14ac:dyDescent="0.2">
      <c r="C10" t="s">
        <v>345</v>
      </c>
    </row>
    <row r="11" spans="3:3" x14ac:dyDescent="0.2">
      <c r="C11" t="s">
        <v>343</v>
      </c>
    </row>
    <row r="12" spans="3:3" x14ac:dyDescent="0.2">
      <c r="C12" t="s">
        <v>374</v>
      </c>
    </row>
    <row r="13" spans="3:3" x14ac:dyDescent="0.2">
      <c r="C13" t="s">
        <v>599</v>
      </c>
    </row>
    <row r="14" spans="3:3" x14ac:dyDescent="0.2">
      <c r="C14" t="s">
        <v>602</v>
      </c>
    </row>
    <row r="15" spans="3:3" x14ac:dyDescent="0.2">
      <c r="C15" t="s">
        <v>603</v>
      </c>
    </row>
    <row r="16" spans="3:3" x14ac:dyDescent="0.2">
      <c r="C16" t="s">
        <v>344</v>
      </c>
    </row>
    <row r="17" spans="3:3" x14ac:dyDescent="0.2">
      <c r="C17" t="s">
        <v>608</v>
      </c>
    </row>
    <row r="18" spans="3:3" x14ac:dyDescent="0.2">
      <c r="C18" t="s">
        <v>340</v>
      </c>
    </row>
    <row r="19" spans="3:3" x14ac:dyDescent="0.2">
      <c r="C19" t="s">
        <v>598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DbManager" label="DB Manager" insertAfterMso="TabHelp">
        <group id="grpProdReport" label="Prod Report">
          <button id="btnCreateDB" label="Create DB" size="large" onAction="CreateDB" imageMso="CreateFormInDesignView"/>
          <button id="btnPopulateDB" label="Populate DB" size="large" onAction="PopulateDB" imageMso="QueryUpdate"/>
          <button id="btnAddQueries" label="Add Queries" size="large" onAction="AddQueries" imageMso="PlusSign"/>
        </group>
        <group id="grpDoc" label="Documutation">
          <button id="btnRefreshDoc" label="Refresh" size="large" onAction="RefreshDoc" imageMso="Refresh"/>
          <button id="btnUpdateDoc" label="Update Documentations" size="large" onAction="UpdateDoc" imageMso="SharingPreviewWssDiscussionList"/>
        </group>
        <group id="grpHelp" label="Help">
          <button id="btnAbout" label="About" size="large" onAction="ShowAbout" imageMso="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F505FF2F5D8742914A439A59336AF5" ma:contentTypeVersion="6" ma:contentTypeDescription="Create a new document." ma:contentTypeScope="" ma:versionID="7285e6f6ed35475fbdad326b12b3ec0f">
  <xsd:schema xmlns:xsd="http://www.w3.org/2001/XMLSchema" xmlns:xs="http://www.w3.org/2001/XMLSchema" xmlns:p="http://schemas.microsoft.com/office/2006/metadata/properties" xmlns:ns2="bf180304-fc5d-4838-887e-3c72a1b4bf0a" xmlns:ns3="b2b95352-cc6e-41cf-8b5b-21cb6722a81a" targetNamespace="http://schemas.microsoft.com/office/2006/metadata/properties" ma:root="true" ma:fieldsID="3b2a1d66565904514e705bb64fe868c8" ns2:_="" ns3:_="">
    <xsd:import namespace="bf180304-fc5d-4838-887e-3c72a1b4bf0a"/>
    <xsd:import namespace="b2b95352-cc6e-41cf-8b5b-21cb6722a81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180304-fc5d-4838-887e-3c72a1b4bf0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b95352-cc6e-41cf-8b5b-21cb6722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BB0068D-8388-420E-B4AA-6A69455CD2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73C531-BEF2-4BD1-8AD8-97A8944F98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180304-fc5d-4838-887e-3c72a1b4bf0a"/>
    <ds:schemaRef ds:uri="b2b95352-cc6e-41cf-8b5b-21cb6722a8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D4E14E-00F7-45CB-8973-C0253F39A67F}">
  <ds:schemaRefs>
    <ds:schemaRef ds:uri="bf180304-fc5d-4838-887e-3c72a1b4bf0a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b2b95352-cc6e-41cf-8b5b-21cb6722a81a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69c428b0-0db1-4300-b2dd-9484759bca92}" enabled="1" method="Standard" siteId="{57952406-af28-43c8-b4de-a4e06f57476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InsertErrors</vt:lpstr>
      <vt:lpstr>Tables</vt:lpstr>
      <vt:lpstr>Doc</vt:lpstr>
      <vt:lpstr>db_drift</vt:lpstr>
      <vt:lpstr>Setup</vt:lpstr>
    </vt:vector>
  </TitlesOfParts>
  <Company>Heidelberg Materials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Nordal, Tom (Kjøpsvik) NOR</dc:creator>
  <cp:lastModifiedBy>Nordal, Tom (Kjøpsvik) NOR</cp:lastModifiedBy>
  <dcterms:created xsi:type="dcterms:W3CDTF">2025-07-15T13:36:43Z</dcterms:created>
  <dcterms:modified xsi:type="dcterms:W3CDTF">2025-07-31T09:36:09Z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0x010100FAF505FF2F5D8742914A439A59336AF5</vt:lpwstr>
  </property>
</Properties>
</file>